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mal\Documents\MY CODES\90days-DA\"/>
    </mc:Choice>
  </mc:AlternateContent>
  <xr:revisionPtr revIDLastSave="0" documentId="8_{0A983F0C-1014-4153-BCD9-1819D0A962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y 1 Practice" sheetId="1" r:id="rId1"/>
  </sheets>
  <definedNames>
    <definedName name="_xlcn.WorksheetConnection_Day1PracticeA4K91" hidden="1">'Day 1 Practice'!$A$4:$K$9</definedName>
  </definedNames>
  <calcPr calcId="191029"/>
  <pivotCaches>
    <pivotCache cacheId="11" r:id="rId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y 1 Practice!$A$4:$K$9"/>
        </x15:modelTables>
      </x15:dataModel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5" i="1"/>
  <c r="F26" i="1"/>
  <c r="F25" i="1"/>
  <c r="J9" i="1"/>
  <c r="J6" i="1"/>
  <c r="J7" i="1"/>
  <c r="J8" i="1"/>
  <c r="J5" i="1"/>
  <c r="I6" i="1"/>
  <c r="I7" i="1"/>
  <c r="I8" i="1"/>
  <c r="I9" i="1"/>
  <c r="I5" i="1"/>
  <c r="H6" i="1"/>
  <c r="H7" i="1"/>
  <c r="H8" i="1"/>
  <c r="H9" i="1"/>
  <c r="H5" i="1"/>
  <c r="G5" i="1"/>
  <c r="G14" i="1"/>
  <c r="G13" i="1"/>
  <c r="G12" i="1"/>
  <c r="G6" i="1"/>
  <c r="G7" i="1"/>
  <c r="G8" i="1"/>
  <c r="G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C19F85-B343-442A-87D4-15A3CB8761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AFA9282-D351-48F9-8614-381B347CE529}" name="WorksheetConnection_Day 1 Practice!$A$4:$K$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y1PracticeA4K91"/>
        </x15:connection>
      </ext>
    </extLst>
  </connection>
</connections>
</file>

<file path=xl/sharedStrings.xml><?xml version="1.0" encoding="utf-8"?>
<sst xmlns="http://schemas.openxmlformats.org/spreadsheetml/2006/main" count="63" uniqueCount="51">
  <si>
    <t>Day 1 – Excel Foundations | Hands-on Practice Sheet</t>
  </si>
  <si>
    <t>SECTION 1: Sample Sales Dataset (Use this for all exercises below)</t>
  </si>
  <si>
    <t>Date</t>
  </si>
  <si>
    <t>Product</t>
  </si>
  <si>
    <t>Category</t>
  </si>
  <si>
    <t>Region</t>
  </si>
  <si>
    <t>Units Sold</t>
  </si>
  <si>
    <t>Unit Price</t>
  </si>
  <si>
    <t>Sales Amount</t>
  </si>
  <si>
    <t>Remarks</t>
  </si>
  <si>
    <t>01-01-2026</t>
  </si>
  <si>
    <t>Laptop</t>
  </si>
  <si>
    <t>Electronics</t>
  </si>
  <si>
    <t>North</t>
  </si>
  <si>
    <t>02-01-2026</t>
  </si>
  <si>
    <t>Mobile</t>
  </si>
  <si>
    <t>South</t>
  </si>
  <si>
    <t>03-01-2026</t>
  </si>
  <si>
    <t>Chair</t>
  </si>
  <si>
    <t>Furniture</t>
  </si>
  <si>
    <t>West</t>
  </si>
  <si>
    <t>04-01-2026</t>
  </si>
  <si>
    <t>Desk</t>
  </si>
  <si>
    <t>05-01-2026</t>
  </si>
  <si>
    <t>Tablet</t>
  </si>
  <si>
    <t>East</t>
  </si>
  <si>
    <t>SECTION 2: Basic Formulas (SUM, AVERAGE, COUNT)</t>
  </si>
  <si>
    <t>1. Calculate TOTAL Units Sold using SUM</t>
  </si>
  <si>
    <t>2. Calculate AVERAGE Unit Price</t>
  </si>
  <si>
    <t>3. COUNT number of products sold</t>
  </si>
  <si>
    <t>SECTION 3: Logical Functions (IF, AND, OR)</t>
  </si>
  <si>
    <t>4. Use IF to mark Sales Amount &gt; 1,00,000 as High else Low</t>
  </si>
  <si>
    <t>5. Use AND to check if Category is Electronics AND Units Sold &gt; 5</t>
  </si>
  <si>
    <t>6. Use OR to check if Region is North OR East</t>
  </si>
  <si>
    <t>SECTION 4: COUNTIF &amp; SUMIF Practice</t>
  </si>
  <si>
    <t>7. COUNTIF: Count number of Electronics products</t>
  </si>
  <si>
    <t>8. SUMIF: Calculate total sales for Furniture category</t>
  </si>
  <si>
    <t>SECTION 5: Nested IF Statements</t>
  </si>
  <si>
    <t xml:space="preserve">9. Create a Nested IF formula:
If Sales Amount &gt; 1,50,000 → Excellent
Else if Sales Amount &gt; 75,000 → Good
Else → Average
</t>
  </si>
  <si>
    <t>SECTION 6: Pivot Table Practice</t>
  </si>
  <si>
    <t>10. Create a Pivot Table using the dataset:
• Rows: Month (from Date)
• Values: Sum of Sales Amount
• Columns (optional): Category
Do this on a NEW SHEET.</t>
  </si>
  <si>
    <t xml:space="preserve">Total units = </t>
  </si>
  <si>
    <t xml:space="preserve">Average price= </t>
  </si>
  <si>
    <t xml:space="preserve">No.of products sold = </t>
  </si>
  <si>
    <t>High/Low</t>
  </si>
  <si>
    <t>AND fn</t>
  </si>
  <si>
    <t>OR fn</t>
  </si>
  <si>
    <t>Row Labels</t>
  </si>
  <si>
    <t>Grand Total</t>
  </si>
  <si>
    <t>Sum of Sales 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</si>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</sst>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E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mal Karanakota" refreshedDate="46029.007769097225" backgroundQuery="1" createdVersion="8" refreshedVersion="8" minRefreshableVersion="3" recordCount="0" supportSubquery="1" supportAdvancedDrill="1" xr:uid="{1ACD4DD2-E675-459F-B9C0-5908FC0D0B83}">
  <cacheSource type="external" connectionId="1"/>
  <cacheFields count="3">
    <cacheField name="[Range].[Date].[Date]" caption="Date" numFmtId="0" level="1">
      <sharedItems count="5">
        <s v="01-01-2026"/>
        <s v="02-01-2026"/>
        <s v="03-01-2026"/>
        <s v="04-01-2026"/>
        <s v="05-01-2026"/>
      </sharedItems>
    </cacheField>
    <cacheField name="[Measures].[Sum of Sales Amount]" caption="Sum of Sales Amount" numFmtId="0" hierarchy="13" level="32767"/>
    <cacheField name="[Range].[Category].[Category]" caption="Category" numFmtId="0" hierarchy="2" level="1">
      <sharedItems count="2">
        <s v="Electronics"/>
        <s v="Furniture"/>
      </sharedItems>
    </cacheField>
  </cacheFields>
  <cacheHierarchies count="14">
    <cacheHierarchy uniqueName="[Range].[Date]" caption="Date" attribute="1" defaultMemberUniqueName="[Range].[Date].[All]" allUniqueName="[Range].[D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2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Units Sold]" caption="Units Sold" attribute="1" defaultMemberUniqueName="[Range].[Units Sold].[All]" allUniqueName="[Range].[Units Sold].[All]" dimensionUniqueName="[Range]" displayFolder="" count="0" memberValueDatatype="2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High/Low]" caption="High/Low" attribute="1" defaultMemberUniqueName="[Range].[High/Low].[All]" allUniqueName="[Range].[High/Low].[All]" dimensionUniqueName="[Range]" displayFolder="" count="0" memberValueDatatype="130" unbalanced="0"/>
    <cacheHierarchy uniqueName="[Range].[AND fn]" caption="AND fn" attribute="1" defaultMemberUniqueName="[Range].[AND fn].[All]" allUniqueName="[Range].[AND fn].[All]" dimensionUniqueName="[Range]" displayFolder="" count="0" memberValueDatatype="130" unbalanced="0"/>
    <cacheHierarchy uniqueName="[Range].[OR fn]" caption="OR fn" attribute="1" defaultMemberUniqueName="[Range].[OR fn].[All]" allUniqueName="[Range].[OR fn].[All]" dimensionUniqueName="[Range]" displayFolder="" count="0" memberValueDatatype="130" unbalanced="0"/>
    <cacheHierarchy uniqueName="[Range].[Remarks]" caption="Remarks" attribute="1" defaultMemberUniqueName="[Range].[Remarks].[All]" allUniqueName="[Range].[Remark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EF18E-AE8D-46A1-9B4B-7394FF4C523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D49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 Amount" fld="1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y 1 Practice!$A$4:$K$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F44" sqref="F44"/>
    </sheetView>
  </sheetViews>
  <sheetFormatPr defaultRowHeight="14.5" x14ac:dyDescent="0.35"/>
  <cols>
    <col min="1" max="1" width="18.7265625" style="2" bestFit="1" customWidth="1"/>
    <col min="2" max="2" width="15.26953125" style="2" bestFit="1" customWidth="1"/>
    <col min="3" max="3" width="11.54296875" style="2" customWidth="1"/>
    <col min="4" max="4" width="10.7265625" style="2" bestFit="1" customWidth="1"/>
    <col min="5" max="5" width="12" style="2" customWidth="1"/>
    <col min="6" max="6" width="15.453125" style="2" customWidth="1"/>
    <col min="7" max="8" width="15" style="2" customWidth="1"/>
    <col min="9" max="9" width="10.81640625" style="2" customWidth="1"/>
    <col min="10" max="16384" width="8.7265625" style="2"/>
  </cols>
  <sheetData>
    <row r="1" spans="1:11" ht="18.5" x14ac:dyDescent="0.35">
      <c r="A1" s="10" t="s">
        <v>0</v>
      </c>
      <c r="B1" s="1"/>
      <c r="C1" s="1"/>
      <c r="D1" s="1"/>
      <c r="E1" s="1"/>
      <c r="F1" s="1"/>
      <c r="G1" s="1"/>
      <c r="H1" s="1"/>
    </row>
    <row r="3" spans="1:11" x14ac:dyDescent="0.35">
      <c r="A3" s="3" t="s">
        <v>1</v>
      </c>
      <c r="B3" s="1"/>
      <c r="C3" s="1"/>
      <c r="D3" s="1"/>
      <c r="E3" s="1"/>
      <c r="F3" s="1"/>
      <c r="G3" s="1"/>
      <c r="H3" s="1"/>
    </row>
    <row r="4" spans="1:1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44</v>
      </c>
      <c r="I4" s="4" t="s">
        <v>45</v>
      </c>
      <c r="J4" s="4" t="s">
        <v>46</v>
      </c>
      <c r="K4" s="4" t="s">
        <v>9</v>
      </c>
    </row>
    <row r="5" spans="1:11" x14ac:dyDescent="0.35">
      <c r="A5" s="5" t="s">
        <v>10</v>
      </c>
      <c r="B5" s="5" t="s">
        <v>11</v>
      </c>
      <c r="C5" s="5" t="s">
        <v>12</v>
      </c>
      <c r="D5" s="5" t="s">
        <v>13</v>
      </c>
      <c r="E5" s="5">
        <v>5</v>
      </c>
      <c r="F5" s="5">
        <v>45000</v>
      </c>
      <c r="G5" s="5">
        <f>F5*E5</f>
        <v>225000</v>
      </c>
      <c r="H5" s="5" t="str">
        <f>IF(G5&gt;100000, "High", "Low")</f>
        <v>High</v>
      </c>
      <c r="I5" s="5" t="str">
        <f>IF(AND(C5="Electronics", E5&gt; 5), "YES", "NO")</f>
        <v>NO</v>
      </c>
      <c r="J5" s="5" t="str">
        <f>IF(OR(D5="North", D5="East"), "Yes", "No")</f>
        <v>Yes</v>
      </c>
      <c r="K5" s="5" t="str">
        <f>IF(G5&gt;150000, "Excellant", IF(G5&gt;75000, "Good", "Average"))</f>
        <v>Excellant</v>
      </c>
    </row>
    <row r="6" spans="1:11" x14ac:dyDescent="0.35">
      <c r="A6" s="5" t="s">
        <v>14</v>
      </c>
      <c r="B6" s="5" t="s">
        <v>15</v>
      </c>
      <c r="C6" s="5" t="s">
        <v>12</v>
      </c>
      <c r="D6" s="5" t="s">
        <v>16</v>
      </c>
      <c r="E6" s="5">
        <v>10</v>
      </c>
      <c r="F6" s="5">
        <v>18000</v>
      </c>
      <c r="G6" s="5">
        <f t="shared" ref="G6:G9" si="0">F6*E6</f>
        <v>180000</v>
      </c>
      <c r="H6" s="5" t="str">
        <f t="shared" ref="H6:I9" si="1">IF(G6&gt;100000, "High", "Low")</f>
        <v>High</v>
      </c>
      <c r="I6" s="5" t="str">
        <f t="shared" ref="I6:I9" si="2">IF(AND(C6="Electronics", E6&gt; 5), "YES", "NO")</f>
        <v>YES</v>
      </c>
      <c r="J6" s="5" t="str">
        <f t="shared" ref="J6:K8" si="3">IF(OR(D6="North", D6="East"), "Yes", "No")</f>
        <v>No</v>
      </c>
      <c r="K6" s="5" t="str">
        <f t="shared" ref="K6:K9" si="4">IF(G6&gt;150000, "Excellant", IF(G6&gt;75000, "Good", "Average"))</f>
        <v>Excellant</v>
      </c>
    </row>
    <row r="7" spans="1:11" x14ac:dyDescent="0.35">
      <c r="A7" s="5" t="s">
        <v>17</v>
      </c>
      <c r="B7" s="5" t="s">
        <v>18</v>
      </c>
      <c r="C7" s="5" t="s">
        <v>19</v>
      </c>
      <c r="D7" s="5" t="s">
        <v>20</v>
      </c>
      <c r="E7" s="5">
        <v>8</v>
      </c>
      <c r="F7" s="5">
        <v>3500</v>
      </c>
      <c r="G7" s="5">
        <f t="shared" si="0"/>
        <v>28000</v>
      </c>
      <c r="H7" s="5" t="str">
        <f t="shared" si="1"/>
        <v>Low</v>
      </c>
      <c r="I7" s="5" t="str">
        <f t="shared" si="2"/>
        <v>NO</v>
      </c>
      <c r="J7" s="5" t="str">
        <f t="shared" si="3"/>
        <v>No</v>
      </c>
      <c r="K7" s="5" t="str">
        <f t="shared" si="4"/>
        <v>Average</v>
      </c>
    </row>
    <row r="8" spans="1:11" x14ac:dyDescent="0.35">
      <c r="A8" s="5" t="s">
        <v>21</v>
      </c>
      <c r="B8" s="5" t="s">
        <v>22</v>
      </c>
      <c r="C8" s="5" t="s">
        <v>19</v>
      </c>
      <c r="D8" s="5" t="s">
        <v>13</v>
      </c>
      <c r="E8" s="5">
        <v>4</v>
      </c>
      <c r="F8" s="5">
        <v>7500</v>
      </c>
      <c r="G8" s="5">
        <f t="shared" si="0"/>
        <v>30000</v>
      </c>
      <c r="H8" s="5" t="str">
        <f t="shared" si="1"/>
        <v>Low</v>
      </c>
      <c r="I8" s="5" t="str">
        <f t="shared" si="2"/>
        <v>NO</v>
      </c>
      <c r="J8" s="5" t="str">
        <f t="shared" si="3"/>
        <v>Yes</v>
      </c>
      <c r="K8" s="5" t="str">
        <f t="shared" si="4"/>
        <v>Average</v>
      </c>
    </row>
    <row r="9" spans="1:11" x14ac:dyDescent="0.35">
      <c r="A9" s="5" t="s">
        <v>23</v>
      </c>
      <c r="B9" s="5" t="s">
        <v>24</v>
      </c>
      <c r="C9" s="5" t="s">
        <v>12</v>
      </c>
      <c r="D9" s="5" t="s">
        <v>25</v>
      </c>
      <c r="E9" s="5">
        <v>6</v>
      </c>
      <c r="F9" s="5">
        <v>22000</v>
      </c>
      <c r="G9" s="5">
        <f t="shared" si="0"/>
        <v>132000</v>
      </c>
      <c r="H9" s="5" t="str">
        <f t="shared" si="1"/>
        <v>High</v>
      </c>
      <c r="I9" s="5" t="str">
        <f t="shared" si="2"/>
        <v>YES</v>
      </c>
      <c r="J9" s="5" t="str">
        <f>IF(OR(D9="North", D9="East"), "Yes", "No")</f>
        <v>Yes</v>
      </c>
      <c r="K9" s="5" t="str">
        <f t="shared" si="4"/>
        <v>Good</v>
      </c>
    </row>
    <row r="10" spans="1:11" x14ac:dyDescent="0.35">
      <c r="A10" s="6"/>
    </row>
    <row r="11" spans="1:11" x14ac:dyDescent="0.35">
      <c r="A11" s="3" t="s">
        <v>26</v>
      </c>
      <c r="B11" s="1"/>
      <c r="C11" s="1"/>
      <c r="D11" s="1"/>
      <c r="E11" s="1"/>
      <c r="F11" s="1"/>
      <c r="G11" s="1"/>
      <c r="H11" s="1"/>
    </row>
    <row r="12" spans="1:11" x14ac:dyDescent="0.35">
      <c r="A12" s="1" t="s">
        <v>27</v>
      </c>
      <c r="B12" s="1"/>
      <c r="C12" s="1"/>
      <c r="D12" s="1"/>
      <c r="F12" s="11" t="s">
        <v>41</v>
      </c>
      <c r="G12" s="11">
        <f>SUM(E5:E9)</f>
        <v>33</v>
      </c>
    </row>
    <row r="13" spans="1:11" x14ac:dyDescent="0.35">
      <c r="A13" s="1" t="s">
        <v>28</v>
      </c>
      <c r="B13" s="1"/>
      <c r="C13" s="1"/>
      <c r="D13" s="1"/>
      <c r="F13" s="11" t="s">
        <v>42</v>
      </c>
      <c r="G13" s="11">
        <f>AVERAGE(F5:F9)</f>
        <v>19200</v>
      </c>
    </row>
    <row r="14" spans="1:11" ht="29" x14ac:dyDescent="0.35">
      <c r="A14" s="1" t="s">
        <v>29</v>
      </c>
      <c r="B14" s="1"/>
      <c r="C14" s="1"/>
      <c r="D14" s="1"/>
      <c r="F14" s="12" t="s">
        <v>43</v>
      </c>
      <c r="G14" s="11">
        <f>COUNT(E5:E9)</f>
        <v>5</v>
      </c>
    </row>
    <row r="15" spans="1:11" x14ac:dyDescent="0.35">
      <c r="A15" s="7"/>
      <c r="B15" s="7"/>
    </row>
    <row r="16" spans="1:11" x14ac:dyDescent="0.35">
      <c r="A16" s="7"/>
      <c r="B16" s="7"/>
    </row>
    <row r="17" spans="1:8" x14ac:dyDescent="0.35">
      <c r="A17" s="7"/>
      <c r="B17" s="7"/>
    </row>
    <row r="18" spans="1:8" x14ac:dyDescent="0.35">
      <c r="A18" s="3" t="s">
        <v>30</v>
      </c>
      <c r="B18" s="1"/>
      <c r="C18" s="1"/>
      <c r="D18" s="1"/>
      <c r="E18" s="1"/>
      <c r="F18" s="1"/>
      <c r="G18" s="1"/>
      <c r="H18" s="1"/>
    </row>
    <row r="19" spans="1:8" x14ac:dyDescent="0.35">
      <c r="A19" s="1" t="s">
        <v>31</v>
      </c>
      <c r="B19" s="1"/>
      <c r="C19" s="1"/>
      <c r="D19" s="1"/>
    </row>
    <row r="20" spans="1:8" x14ac:dyDescent="0.35">
      <c r="A20" s="1" t="s">
        <v>32</v>
      </c>
      <c r="B20" s="1"/>
      <c r="C20" s="1"/>
      <c r="D20" s="1"/>
    </row>
    <row r="21" spans="1:8" x14ac:dyDescent="0.35">
      <c r="A21" s="1" t="s">
        <v>33</v>
      </c>
      <c r="B21" s="1"/>
      <c r="C21" s="1"/>
      <c r="D21" s="1"/>
    </row>
    <row r="24" spans="1:8" x14ac:dyDescent="0.35">
      <c r="A24" s="3" t="s">
        <v>34</v>
      </c>
      <c r="B24" s="1"/>
      <c r="C24" s="1"/>
      <c r="D24" s="1"/>
      <c r="E24" s="1"/>
      <c r="F24" s="1"/>
      <c r="G24" s="1"/>
      <c r="H24" s="1"/>
    </row>
    <row r="25" spans="1:8" x14ac:dyDescent="0.35">
      <c r="A25" s="1" t="s">
        <v>35</v>
      </c>
      <c r="B25" s="1"/>
      <c r="C25" s="1"/>
      <c r="D25" s="1"/>
      <c r="F25" s="2">
        <f>COUNTIF(C5:C9, "Electronics")</f>
        <v>3</v>
      </c>
    </row>
    <row r="26" spans="1:8" x14ac:dyDescent="0.35">
      <c r="A26" s="1" t="s">
        <v>36</v>
      </c>
      <c r="B26" s="1"/>
      <c r="C26" s="1"/>
      <c r="D26" s="1"/>
      <c r="F26" s="2">
        <f>SUMIF(C5:C9,"Furniture",G5:G9)</f>
        <v>58000</v>
      </c>
    </row>
    <row r="27" spans="1:8" x14ac:dyDescent="0.35">
      <c r="A27" s="8"/>
      <c r="B27" s="1"/>
      <c r="C27" s="1"/>
      <c r="D27" s="1"/>
      <c r="E27" s="1"/>
      <c r="F27" s="1"/>
      <c r="G27" s="1"/>
      <c r="H27" s="1"/>
    </row>
    <row r="28" spans="1:8" x14ac:dyDescent="0.35">
      <c r="A28" s="8"/>
      <c r="B28" s="1"/>
      <c r="C28" s="1"/>
      <c r="D28" s="1"/>
      <c r="E28" s="1"/>
      <c r="F28" s="1"/>
      <c r="G28" s="1"/>
      <c r="H28" s="1"/>
    </row>
    <row r="29" spans="1:8" x14ac:dyDescent="0.35">
      <c r="A29" s="8"/>
      <c r="B29" s="1"/>
      <c r="C29" s="1"/>
      <c r="D29" s="1"/>
      <c r="E29" s="1"/>
      <c r="F29" s="1"/>
      <c r="G29" s="1"/>
      <c r="H29" s="1"/>
    </row>
    <row r="31" spans="1:8" x14ac:dyDescent="0.35">
      <c r="A31" s="3" t="s">
        <v>37</v>
      </c>
      <c r="B31" s="1"/>
      <c r="C31" s="1"/>
      <c r="D31" s="1"/>
      <c r="E31" s="1"/>
      <c r="F31" s="1"/>
      <c r="G31" s="1"/>
      <c r="H31" s="1"/>
    </row>
    <row r="32" spans="1:8" ht="14.5" customHeight="1" x14ac:dyDescent="0.35">
      <c r="A32" s="1" t="s">
        <v>38</v>
      </c>
      <c r="B32" s="1"/>
      <c r="C32" s="1"/>
      <c r="D32" s="1"/>
      <c r="E32" s="1"/>
      <c r="F32" s="1"/>
      <c r="G32" s="1"/>
      <c r="H32" s="1"/>
    </row>
    <row r="33" spans="1:8" x14ac:dyDescent="0.35">
      <c r="A33" s="1"/>
      <c r="B33" s="1"/>
      <c r="C33" s="1"/>
      <c r="D33" s="1"/>
      <c r="E33" s="1"/>
      <c r="F33" s="1"/>
      <c r="G33" s="1"/>
      <c r="H33" s="1"/>
    </row>
    <row r="34" spans="1:8" x14ac:dyDescent="0.35">
      <c r="A34" s="13"/>
      <c r="B34" s="7"/>
      <c r="C34" s="7"/>
      <c r="D34" s="7"/>
      <c r="E34" s="7"/>
      <c r="F34" s="7"/>
      <c r="G34" s="7"/>
      <c r="H34" s="7"/>
    </row>
    <row r="35" spans="1:8" x14ac:dyDescent="0.35">
      <c r="A35" s="13"/>
      <c r="B35" s="7"/>
      <c r="C35" s="7"/>
      <c r="D35" s="7"/>
      <c r="E35" s="7"/>
      <c r="F35" s="7"/>
      <c r="G35" s="7"/>
      <c r="H35" s="7"/>
    </row>
    <row r="37" spans="1:8" x14ac:dyDescent="0.35">
      <c r="A37" s="3" t="s">
        <v>39</v>
      </c>
      <c r="B37" s="1"/>
      <c r="C37" s="1"/>
      <c r="D37" s="1"/>
      <c r="E37" s="1"/>
      <c r="F37" s="1"/>
      <c r="G37" s="1"/>
      <c r="H37" s="1"/>
    </row>
    <row r="38" spans="1:8" x14ac:dyDescent="0.35">
      <c r="A38" s="9" t="s">
        <v>40</v>
      </c>
      <c r="B38" s="1"/>
      <c r="C38" s="1"/>
      <c r="D38" s="1"/>
      <c r="E38" s="1"/>
      <c r="F38" s="1"/>
      <c r="G38" s="1"/>
      <c r="H38" s="1"/>
    </row>
    <row r="39" spans="1:8" x14ac:dyDescent="0.35">
      <c r="A39" s="1"/>
      <c r="B39" s="1"/>
      <c r="C39" s="1"/>
      <c r="D39" s="1"/>
      <c r="E39" s="1"/>
      <c r="F39" s="1"/>
      <c r="G39" s="1"/>
      <c r="H39" s="1"/>
    </row>
    <row r="40" spans="1:8" x14ac:dyDescent="0.35">
      <c r="A40" s="1"/>
      <c r="B40" s="1"/>
      <c r="C40" s="1"/>
      <c r="D40" s="1"/>
      <c r="E40" s="1"/>
      <c r="F40" s="1"/>
      <c r="G40" s="1"/>
      <c r="H40" s="1"/>
    </row>
    <row r="42" spans="1:8" x14ac:dyDescent="0.35">
      <c r="A42" s="14" t="s">
        <v>49</v>
      </c>
      <c r="B42" s="14" t="s">
        <v>50</v>
      </c>
      <c r="C42"/>
      <c r="D42"/>
    </row>
    <row r="43" spans="1:8" x14ac:dyDescent="0.35">
      <c r="A43" s="14" t="s">
        <v>47</v>
      </c>
      <c r="B43" t="s">
        <v>12</v>
      </c>
      <c r="C43" t="s">
        <v>19</v>
      </c>
      <c r="D43" t="s">
        <v>48</v>
      </c>
    </row>
    <row r="44" spans="1:8" x14ac:dyDescent="0.35">
      <c r="A44" s="15" t="s">
        <v>10</v>
      </c>
      <c r="B44" s="16">
        <v>225000</v>
      </c>
      <c r="C44" s="16"/>
      <c r="D44" s="16">
        <v>225000</v>
      </c>
    </row>
    <row r="45" spans="1:8" x14ac:dyDescent="0.35">
      <c r="A45" s="15" t="s">
        <v>14</v>
      </c>
      <c r="B45" s="16">
        <v>180000</v>
      </c>
      <c r="C45" s="16"/>
      <c r="D45" s="16">
        <v>180000</v>
      </c>
    </row>
    <row r="46" spans="1:8" x14ac:dyDescent="0.35">
      <c r="A46" s="15" t="s">
        <v>17</v>
      </c>
      <c r="B46" s="16"/>
      <c r="C46" s="16">
        <v>28000</v>
      </c>
      <c r="D46" s="16">
        <v>28000</v>
      </c>
    </row>
    <row r="47" spans="1:8" x14ac:dyDescent="0.35">
      <c r="A47" s="15" t="s">
        <v>21</v>
      </c>
      <c r="B47" s="16"/>
      <c r="C47" s="16">
        <v>30000</v>
      </c>
      <c r="D47" s="16">
        <v>30000</v>
      </c>
    </row>
    <row r="48" spans="1:8" x14ac:dyDescent="0.35">
      <c r="A48" s="15" t="s">
        <v>23</v>
      </c>
      <c r="B48" s="16">
        <v>132000</v>
      </c>
      <c r="C48" s="16"/>
      <c r="D48" s="16">
        <v>132000</v>
      </c>
    </row>
    <row r="49" spans="1:4" x14ac:dyDescent="0.35">
      <c r="A49" s="15" t="s">
        <v>48</v>
      </c>
      <c r="B49" s="16">
        <v>537000</v>
      </c>
      <c r="C49" s="16">
        <v>58000</v>
      </c>
      <c r="D49" s="16">
        <v>595000</v>
      </c>
    </row>
    <row r="50" spans="1:4" x14ac:dyDescent="0.35">
      <c r="A50"/>
      <c r="B50"/>
      <c r="C50"/>
    </row>
    <row r="51" spans="1:4" x14ac:dyDescent="0.35">
      <c r="A51"/>
      <c r="B51"/>
      <c r="C51"/>
    </row>
    <row r="52" spans="1:4" x14ac:dyDescent="0.35">
      <c r="A52"/>
      <c r="B52"/>
      <c r="C52"/>
    </row>
    <row r="53" spans="1:4" x14ac:dyDescent="0.35">
      <c r="A53"/>
      <c r="B53"/>
      <c r="C53"/>
    </row>
    <row r="54" spans="1:4" x14ac:dyDescent="0.35">
      <c r="A54"/>
      <c r="B54"/>
      <c r="C54"/>
    </row>
    <row r="55" spans="1:4" x14ac:dyDescent="0.35">
      <c r="A55"/>
      <c r="B55"/>
      <c r="C55"/>
    </row>
    <row r="56" spans="1:4" x14ac:dyDescent="0.35">
      <c r="A56"/>
      <c r="B56"/>
      <c r="C56"/>
    </row>
    <row r="57" spans="1:4" x14ac:dyDescent="0.35">
      <c r="A57"/>
      <c r="B57"/>
      <c r="C57"/>
    </row>
    <row r="58" spans="1:4" x14ac:dyDescent="0.35">
      <c r="A58"/>
      <c r="B58"/>
      <c r="C58"/>
    </row>
    <row r="59" spans="1:4" x14ac:dyDescent="0.35">
      <c r="A59"/>
      <c r="B59"/>
      <c r="C59"/>
    </row>
  </sheetData>
  <mergeCells count="20">
    <mergeCell ref="A38:H40"/>
    <mergeCell ref="A31:H31"/>
    <mergeCell ref="A13:D13"/>
    <mergeCell ref="A14:D14"/>
    <mergeCell ref="A19:D19"/>
    <mergeCell ref="A20:D20"/>
    <mergeCell ref="A21:D21"/>
    <mergeCell ref="A25:D25"/>
    <mergeCell ref="A26:D26"/>
    <mergeCell ref="A37:H37"/>
    <mergeCell ref="A27:H27"/>
    <mergeCell ref="A18:H18"/>
    <mergeCell ref="A3:H3"/>
    <mergeCell ref="A29:H29"/>
    <mergeCell ref="A28:H28"/>
    <mergeCell ref="A12:D12"/>
    <mergeCell ref="A24:H24"/>
    <mergeCell ref="A11:H11"/>
    <mergeCell ref="A1:H1"/>
    <mergeCell ref="A32:H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day 1</dc:title>
  <dc:creator>komal harshita</dc:creator>
  <cp:lastModifiedBy>Komal Karanakota</cp:lastModifiedBy>
  <dcterms:created xsi:type="dcterms:W3CDTF">2026-01-06T15:25:34Z</dcterms:created>
  <dcterms:modified xsi:type="dcterms:W3CDTF">2026-01-06T18:43:13Z</dcterms:modified>
</cp:coreProperties>
</file>