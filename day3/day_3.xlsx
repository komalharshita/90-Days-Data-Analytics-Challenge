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mal\Documents\MY CODES\90days-DA\"/>
    </mc:Choice>
  </mc:AlternateContent>
  <xr:revisionPtr revIDLastSave="0" documentId="8_{F7E84184-067A-4661-9B7E-033090F96D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3 Practice" sheetId="1" r:id="rId1"/>
    <sheet name="Pivot Practice" sheetId="2" r:id="rId2"/>
  </sheets>
  <calcPr calcId="191029"/>
  <pivotCaches>
    <pivotCache cacheId="37" r:id="rId3"/>
  </pivotCaches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5" i="1"/>
  <c r="B44" i="1"/>
  <c r="B43" i="1"/>
  <c r="B4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  <c r="B31" i="1"/>
  <c r="B30" i="1"/>
  <c r="B29" i="1"/>
  <c r="B2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  <c r="B27" i="1"/>
</calcChain>
</file>

<file path=xl/sharedStrings.xml><?xml version="1.0" encoding="utf-8"?>
<sst xmlns="http://schemas.openxmlformats.org/spreadsheetml/2006/main" count="126" uniqueCount="85">
  <si>
    <t>SECTION: Sample Sales Dataset (Use this table for all exercises)</t>
  </si>
  <si>
    <t>Date</t>
  </si>
  <si>
    <t>Order ID</t>
  </si>
  <si>
    <t>Product</t>
  </si>
  <si>
    <t>Category</t>
  </si>
  <si>
    <t>Region</t>
  </si>
  <si>
    <t>Units Sold</t>
  </si>
  <si>
    <t>Unit Price</t>
  </si>
  <si>
    <t>Revenue</t>
  </si>
  <si>
    <t>Flag (IF)</t>
  </si>
  <si>
    <t>Notes</t>
  </si>
  <si>
    <t>2026-01-05</t>
  </si>
  <si>
    <t>Notebook</t>
  </si>
  <si>
    <t>Stationery</t>
  </si>
  <si>
    <t>North</t>
  </si>
  <si>
    <t>2026-01-08</t>
  </si>
  <si>
    <t>Pen</t>
  </si>
  <si>
    <t>South</t>
  </si>
  <si>
    <t>2026-01-15</t>
  </si>
  <si>
    <t>Travel Mug</t>
  </si>
  <si>
    <t>Home</t>
  </si>
  <si>
    <t>West</t>
  </si>
  <si>
    <t>2026-02-02</t>
  </si>
  <si>
    <t>Mouse</t>
  </si>
  <si>
    <t>Electronics</t>
  </si>
  <si>
    <t>2026-02-10</t>
  </si>
  <si>
    <t>Keyboard</t>
  </si>
  <si>
    <t>2026-02-18</t>
  </si>
  <si>
    <t>Desk</t>
  </si>
  <si>
    <t>Furniture</t>
  </si>
  <si>
    <t>2026-03-05</t>
  </si>
  <si>
    <t>Chair</t>
  </si>
  <si>
    <t>East</t>
  </si>
  <si>
    <t>2026-03-12</t>
  </si>
  <si>
    <t>Tablet</t>
  </si>
  <si>
    <t>2026-03-20</t>
  </si>
  <si>
    <t>Headphones</t>
  </si>
  <si>
    <t>2026-04-02</t>
  </si>
  <si>
    <t>Lamp</t>
  </si>
  <si>
    <t>2026-04-15</t>
  </si>
  <si>
    <t>Stapler</t>
  </si>
  <si>
    <t>2026-05-01</t>
  </si>
  <si>
    <t>2026-05-04</t>
  </si>
  <si>
    <t>Monitor</t>
  </si>
  <si>
    <t>2026-05-18</t>
  </si>
  <si>
    <t>Mouse Pad</t>
  </si>
  <si>
    <t>Accessories</t>
  </si>
  <si>
    <t>2026-06-02</t>
  </si>
  <si>
    <t>Desk Mat</t>
  </si>
  <si>
    <t>2026-06-10</t>
  </si>
  <si>
    <t>2026-06-21</t>
  </si>
  <si>
    <t>2026-07-03</t>
  </si>
  <si>
    <t>Webcam</t>
  </si>
  <si>
    <t>2026-07-15</t>
  </si>
  <si>
    <t>2026-07-28</t>
  </si>
  <si>
    <t>SECTION: Formula Practice — Write formulas in the ANSWER cells (do NOT overwrite the dataset)</t>
  </si>
  <si>
    <t>Total Units Sold (SUM of Units Sold column)</t>
  </si>
  <si>
    <t>Total Revenue (SUM of Revenue column) — first calculate Revenue = Units Sold * Unit Price</t>
  </si>
  <si>
    <t>Average Unit Price (AVERAGE)</t>
  </si>
  <si>
    <t>Count of Orders (COUNT of Order ID)</t>
  </si>
  <si>
    <t>Count of Non-empty Revenue cells (COUNTA)</t>
  </si>
  <si>
    <t>SECTION: Logical Functions (IF, AND, OR)</t>
  </si>
  <si>
    <t>IF: Mark 'High' if Revenue &gt; 10000 else 'Low' — Place result in Flag column (I)</t>
  </si>
  <si>
    <t>AND: Create a column that returns TRUE if Category = 'Electronics' AND Units Sold &gt;= 2</t>
  </si>
  <si>
    <t>OR: Create a column that returns TRUE if Region is North OR East</t>
  </si>
  <si>
    <t>SECTION: COUNTIF &amp; SUMIF Practice</t>
  </si>
  <si>
    <t>COUNTIF: Count how many 'Stationery' orders are there</t>
  </si>
  <si>
    <t>SUMIF: Sum Revenue for Category = 'Electronics'</t>
  </si>
  <si>
    <t>COUNTIF with condition on Units Sold &gt; 5 (use COUNTIF or COUNTIFS)</t>
  </si>
  <si>
    <t>SECTION: Nested IF Practice</t>
  </si>
  <si>
    <t>Task: Create a nested IF in a new column 'Notes' to categorize Revenue: &gt;15000 = 'Excellent', &gt;7500 = 'Good', else 'Average'.</t>
  </si>
  <si>
    <t>Pivot Table Practice</t>
  </si>
  <si>
    <t>Use the dataset from 'Day 3 Practice' sheet to create a Pivot Table on this sheet.</t>
  </si>
  <si>
    <t>Instructions:</t>
  </si>
  <si>
    <t>- Rows: Month (derived from Date)</t>
  </si>
  <si>
    <t>- Columns (optional): Category</t>
  </si>
  <si>
    <t>- Values: Sum of Revenue, Count of Orders</t>
  </si>
  <si>
    <t>- Create a separate small table for Monthly totals and insert a column chart.</t>
  </si>
  <si>
    <t>Tip: Add a 'Month' helper column in the dataset using =TEXT(A6,"yyyy-mm") or =MONTH(A6) and refresh the pivot.</t>
  </si>
  <si>
    <t>Day 3 – Core Excel Practice</t>
  </si>
  <si>
    <t>Grand Total</t>
  </si>
  <si>
    <t>Month 1</t>
  </si>
  <si>
    <t>Month 2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</si>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</sst>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E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Karanakota" refreshedDate="46030.958700462965" createdVersion="8" refreshedVersion="8" minRefreshableVersion="3" recordCount="20" xr:uid="{4826D60B-0025-4723-AA9B-D422E1AB9A73}">
  <cacheSource type="worksheet">
    <worksheetSource ref="D4:J24" sheet="Day 3 Practice"/>
  </cacheSource>
  <cacheFields count="7">
    <cacheField name="Category" numFmtId="0">
      <sharedItems count="5">
        <s v="Stationery"/>
        <s v="Home"/>
        <s v="Electronics"/>
        <s v="Furniture"/>
        <s v="Accessories"/>
      </sharedItems>
    </cacheField>
    <cacheField name="Region" numFmtId="0">
      <sharedItems/>
    </cacheField>
    <cacheField name="Units Sold" numFmtId="0">
      <sharedItems containsSemiMixedTypes="0" containsString="0" containsNumber="1" containsInteger="1" minValue="1" maxValue="15"/>
    </cacheField>
    <cacheField name="Unit Price" numFmtId="0">
      <sharedItems containsSemiMixedTypes="0" containsString="0" containsNumber="1" containsInteger="1" minValue="25" maxValue="22000"/>
    </cacheField>
    <cacheField name="Revenue" numFmtId="0">
      <sharedItems containsSemiMixedTypes="0" containsString="0" containsNumber="1" containsInteger="1" minValue="250" maxValue="132000"/>
    </cacheField>
    <cacheField name="Flag (IF)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North"/>
    <n v="5"/>
    <n v="120"/>
    <n v="600"/>
    <s v="Low"/>
    <s v="Average"/>
  </r>
  <r>
    <x v="0"/>
    <s v="South"/>
    <n v="10"/>
    <n v="25"/>
    <n v="250"/>
    <s v="Low"/>
    <s v="Average"/>
  </r>
  <r>
    <x v="1"/>
    <s v="West"/>
    <n v="3"/>
    <n v="350"/>
    <n v="1050"/>
    <s v="Low"/>
    <s v="Average"/>
  </r>
  <r>
    <x v="2"/>
    <s v="North"/>
    <n v="2"/>
    <n v="799"/>
    <n v="1598"/>
    <s v="Low"/>
    <s v="Average"/>
  </r>
  <r>
    <x v="2"/>
    <s v="South"/>
    <n v="1"/>
    <n v="1299"/>
    <n v="1299"/>
    <s v="Low"/>
    <s v="Average"/>
  </r>
  <r>
    <x v="3"/>
    <s v="West"/>
    <n v="1"/>
    <n v="7500"/>
    <n v="7500"/>
    <s v="Low"/>
    <s v="Good"/>
  </r>
  <r>
    <x v="3"/>
    <s v="East"/>
    <n v="4"/>
    <n v="3500"/>
    <n v="14000"/>
    <s v="High"/>
    <s v="Good"/>
  </r>
  <r>
    <x v="2"/>
    <s v="North"/>
    <n v="6"/>
    <n v="22000"/>
    <n v="132000"/>
    <s v="High"/>
    <s v="Excellent"/>
  </r>
  <r>
    <x v="2"/>
    <s v="South"/>
    <n v="3"/>
    <n v="1500"/>
    <n v="4500"/>
    <s v="Low"/>
    <s v="Average"/>
  </r>
  <r>
    <x v="1"/>
    <s v="East"/>
    <n v="7"/>
    <n v="450"/>
    <n v="3150"/>
    <s v="Low"/>
    <s v="Average"/>
  </r>
  <r>
    <x v="0"/>
    <s v="North"/>
    <n v="12"/>
    <n v="60"/>
    <n v="720"/>
    <s v="Low"/>
    <s v="Average"/>
  </r>
  <r>
    <x v="0"/>
    <s v="West"/>
    <n v="8"/>
    <n v="120"/>
    <n v="960"/>
    <s v="Low"/>
    <s v="Average"/>
  </r>
  <r>
    <x v="2"/>
    <s v="East"/>
    <n v="1"/>
    <n v="8999"/>
    <n v="8999"/>
    <s v="Low"/>
    <s v="Good"/>
  </r>
  <r>
    <x v="4"/>
    <s v="North"/>
    <n v="10"/>
    <n v="199"/>
    <n v="1990"/>
    <s v="Low"/>
    <s v="Average"/>
  </r>
  <r>
    <x v="4"/>
    <s v="South"/>
    <n v="5"/>
    <n v="499"/>
    <n v="2495"/>
    <s v="Low"/>
    <s v="Average"/>
  </r>
  <r>
    <x v="0"/>
    <s v="East"/>
    <n v="15"/>
    <n v="25"/>
    <n v="375"/>
    <s v="Low"/>
    <s v="Average"/>
  </r>
  <r>
    <x v="3"/>
    <s v="North"/>
    <n v="2"/>
    <n v="3500"/>
    <n v="7000"/>
    <s v="Low"/>
    <s v="Average"/>
  </r>
  <r>
    <x v="2"/>
    <s v="West"/>
    <n v="3"/>
    <n v="2499"/>
    <n v="7497"/>
    <s v="Low"/>
    <s v="Average"/>
  </r>
  <r>
    <x v="0"/>
    <s v="South"/>
    <n v="6"/>
    <n v="120"/>
    <n v="720"/>
    <s v="Low"/>
    <s v="Average"/>
  </r>
  <r>
    <x v="2"/>
    <s v="East"/>
    <n v="2"/>
    <n v="22000"/>
    <n v="44000"/>
    <s v="High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777B8-5FD7-46E7-9768-B4D208E0D315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G13" firstHeaderRow="1" firstDataRow="2" firstDataCol="1"/>
  <pivotFields count="7">
    <pivotField axis="axisCol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A4" sqref="A4"/>
    </sheetView>
  </sheetViews>
  <sheetFormatPr defaultRowHeight="14.5" x14ac:dyDescent="0.35"/>
  <cols>
    <col min="1" max="1" width="21.7265625" customWidth="1"/>
    <col min="2" max="2" width="16.36328125" customWidth="1"/>
    <col min="3" max="3" width="20" customWidth="1"/>
    <col min="4" max="4" width="15" customWidth="1"/>
    <col min="5" max="7" width="12" customWidth="1"/>
    <col min="8" max="8" width="15" customWidth="1"/>
    <col min="9" max="9" width="12" customWidth="1"/>
    <col min="10" max="10" width="20" customWidth="1"/>
  </cols>
  <sheetData>
    <row r="1" spans="1:14" ht="18.5" x14ac:dyDescent="0.35">
      <c r="A1" s="6" t="s">
        <v>79</v>
      </c>
      <c r="B1" s="5"/>
      <c r="C1" s="5"/>
      <c r="D1" s="5"/>
      <c r="E1" s="5"/>
      <c r="F1" s="5"/>
      <c r="G1" s="5"/>
      <c r="H1" s="5"/>
      <c r="I1" s="5"/>
      <c r="J1" s="5"/>
    </row>
    <row r="3" spans="1:14" x14ac:dyDescent="0.35">
      <c r="A3" s="7" t="s">
        <v>0</v>
      </c>
      <c r="B3" s="5"/>
      <c r="C3" s="5"/>
      <c r="D3" s="5"/>
      <c r="E3" s="5"/>
      <c r="F3" s="5"/>
      <c r="G3" s="5"/>
      <c r="H3" s="5"/>
      <c r="I3" s="5"/>
      <c r="J3" s="5"/>
    </row>
    <row r="4" spans="1:14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7"/>
      <c r="L4" s="17"/>
      <c r="M4" s="17" t="s">
        <v>81</v>
      </c>
      <c r="N4" s="17" t="s">
        <v>82</v>
      </c>
    </row>
    <row r="5" spans="1:14" x14ac:dyDescent="0.35">
      <c r="A5" s="2" t="s">
        <v>11</v>
      </c>
      <c r="B5" s="2">
        <v>1001</v>
      </c>
      <c r="C5" s="2" t="s">
        <v>12</v>
      </c>
      <c r="D5" s="2" t="s">
        <v>13</v>
      </c>
      <c r="E5" s="2" t="s">
        <v>14</v>
      </c>
      <c r="F5" s="2">
        <v>5</v>
      </c>
      <c r="G5" s="2">
        <v>120</v>
      </c>
      <c r="H5" s="2">
        <f>F5*G5</f>
        <v>600</v>
      </c>
      <c r="I5" s="2" t="str">
        <f>IF(H5&gt;10000, "High", "Low")</f>
        <v>Low</v>
      </c>
      <c r="J5" s="2" t="str">
        <f>IF(H5&gt;15000, "Excellent", IF(H5&gt;=7500, "Good", "Average"))</f>
        <v>Average</v>
      </c>
      <c r="K5" s="2" t="str">
        <f>IF(AND(D5="Electronics", F5&gt;=2), "True","False")</f>
        <v>False</v>
      </c>
      <c r="L5" s="2" t="str">
        <f>IF(OR(E5="North",E5="East"),"True","False")</f>
        <v>True</v>
      </c>
      <c r="M5" s="2" t="str">
        <f>TEXT(A6,"yyyy-mm")</f>
        <v>2026-01</v>
      </c>
      <c r="N5" s="2">
        <f>MONTH(A6)</f>
        <v>1</v>
      </c>
    </row>
    <row r="6" spans="1:14" x14ac:dyDescent="0.35">
      <c r="A6" s="2" t="s">
        <v>15</v>
      </c>
      <c r="B6" s="2">
        <v>1002</v>
      </c>
      <c r="C6" s="2" t="s">
        <v>16</v>
      </c>
      <c r="D6" s="2" t="s">
        <v>13</v>
      </c>
      <c r="E6" s="2" t="s">
        <v>17</v>
      </c>
      <c r="F6" s="2">
        <v>10</v>
      </c>
      <c r="G6" s="2">
        <v>25</v>
      </c>
      <c r="H6" s="2">
        <f t="shared" ref="H6:H24" si="0">F6*G6</f>
        <v>250</v>
      </c>
      <c r="I6" s="2" t="str">
        <f t="shared" ref="I6:I24" si="1">IF(H6&gt;10000, "High", "Low")</f>
        <v>Low</v>
      </c>
      <c r="J6" s="2" t="str">
        <f t="shared" ref="J6:J24" si="2">IF(H6&gt;15000, "Excellent", IF(H6&gt;=7500, "Good", "Average"))</f>
        <v>Average</v>
      </c>
      <c r="K6" s="2" t="str">
        <f t="shared" ref="K6:K24" si="3">IF(AND(D6="Electronics", F6&gt;=2), "True","False")</f>
        <v>False</v>
      </c>
      <c r="L6" s="2" t="str">
        <f t="shared" ref="L6:L24" si="4">IF(OR(E6="North",E6="East"),"True","False")</f>
        <v>False</v>
      </c>
      <c r="M6" s="2" t="str">
        <f t="shared" ref="M6:M24" si="5">TEXT(A7,"yyyy-mm")</f>
        <v>2026-01</v>
      </c>
      <c r="N6" s="2">
        <f t="shared" ref="N6:N24" si="6">MONTH(A7)</f>
        <v>1</v>
      </c>
    </row>
    <row r="7" spans="1:14" x14ac:dyDescent="0.35">
      <c r="A7" s="2" t="s">
        <v>18</v>
      </c>
      <c r="B7" s="2">
        <v>1003</v>
      </c>
      <c r="C7" s="2" t="s">
        <v>19</v>
      </c>
      <c r="D7" s="2" t="s">
        <v>20</v>
      </c>
      <c r="E7" s="2" t="s">
        <v>21</v>
      </c>
      <c r="F7" s="2">
        <v>3</v>
      </c>
      <c r="G7" s="2">
        <v>350</v>
      </c>
      <c r="H7" s="2">
        <f t="shared" si="0"/>
        <v>1050</v>
      </c>
      <c r="I7" s="2" t="str">
        <f t="shared" si="1"/>
        <v>Low</v>
      </c>
      <c r="J7" s="2" t="str">
        <f t="shared" si="2"/>
        <v>Average</v>
      </c>
      <c r="K7" s="2" t="str">
        <f t="shared" si="3"/>
        <v>False</v>
      </c>
      <c r="L7" s="2" t="str">
        <f t="shared" si="4"/>
        <v>False</v>
      </c>
      <c r="M7" s="2" t="str">
        <f t="shared" si="5"/>
        <v>2026-02</v>
      </c>
      <c r="N7" s="2">
        <f t="shared" si="6"/>
        <v>2</v>
      </c>
    </row>
    <row r="8" spans="1:14" x14ac:dyDescent="0.35">
      <c r="A8" s="2" t="s">
        <v>22</v>
      </c>
      <c r="B8" s="2">
        <v>1004</v>
      </c>
      <c r="C8" s="2" t="s">
        <v>23</v>
      </c>
      <c r="D8" s="2" t="s">
        <v>24</v>
      </c>
      <c r="E8" s="2" t="s">
        <v>14</v>
      </c>
      <c r="F8" s="2">
        <v>2</v>
      </c>
      <c r="G8" s="2">
        <v>799</v>
      </c>
      <c r="H8" s="2">
        <f t="shared" si="0"/>
        <v>1598</v>
      </c>
      <c r="I8" s="2" t="str">
        <f t="shared" si="1"/>
        <v>Low</v>
      </c>
      <c r="J8" s="2" t="str">
        <f t="shared" si="2"/>
        <v>Average</v>
      </c>
      <c r="K8" s="2" t="str">
        <f t="shared" si="3"/>
        <v>True</v>
      </c>
      <c r="L8" s="2" t="str">
        <f t="shared" si="4"/>
        <v>True</v>
      </c>
      <c r="M8" s="2" t="str">
        <f t="shared" si="5"/>
        <v>2026-02</v>
      </c>
      <c r="N8" s="2">
        <f t="shared" si="6"/>
        <v>2</v>
      </c>
    </row>
    <row r="9" spans="1:14" x14ac:dyDescent="0.35">
      <c r="A9" s="2" t="s">
        <v>25</v>
      </c>
      <c r="B9" s="2">
        <v>1005</v>
      </c>
      <c r="C9" s="2" t="s">
        <v>26</v>
      </c>
      <c r="D9" s="2" t="s">
        <v>24</v>
      </c>
      <c r="E9" s="2" t="s">
        <v>17</v>
      </c>
      <c r="F9" s="2">
        <v>1</v>
      </c>
      <c r="G9" s="2">
        <v>1299</v>
      </c>
      <c r="H9" s="2">
        <f t="shared" si="0"/>
        <v>1299</v>
      </c>
      <c r="I9" s="2" t="str">
        <f t="shared" si="1"/>
        <v>Low</v>
      </c>
      <c r="J9" s="2" t="str">
        <f t="shared" si="2"/>
        <v>Average</v>
      </c>
      <c r="K9" s="2" t="str">
        <f t="shared" si="3"/>
        <v>False</v>
      </c>
      <c r="L9" s="2" t="str">
        <f t="shared" si="4"/>
        <v>False</v>
      </c>
      <c r="M9" s="2" t="str">
        <f t="shared" si="5"/>
        <v>2026-02</v>
      </c>
      <c r="N9" s="2">
        <f t="shared" si="6"/>
        <v>2</v>
      </c>
    </row>
    <row r="10" spans="1:14" x14ac:dyDescent="0.35">
      <c r="A10" s="2" t="s">
        <v>27</v>
      </c>
      <c r="B10" s="2">
        <v>1006</v>
      </c>
      <c r="C10" s="2" t="s">
        <v>28</v>
      </c>
      <c r="D10" s="2" t="s">
        <v>29</v>
      </c>
      <c r="E10" s="2" t="s">
        <v>21</v>
      </c>
      <c r="F10" s="2">
        <v>1</v>
      </c>
      <c r="G10" s="2">
        <v>7500</v>
      </c>
      <c r="H10" s="2">
        <f t="shared" si="0"/>
        <v>7500</v>
      </c>
      <c r="I10" s="2" t="str">
        <f t="shared" si="1"/>
        <v>Low</v>
      </c>
      <c r="J10" s="2" t="str">
        <f t="shared" si="2"/>
        <v>Good</v>
      </c>
      <c r="K10" s="2" t="str">
        <f t="shared" si="3"/>
        <v>False</v>
      </c>
      <c r="L10" s="2" t="str">
        <f t="shared" si="4"/>
        <v>False</v>
      </c>
      <c r="M10" s="2" t="str">
        <f t="shared" si="5"/>
        <v>2026-03</v>
      </c>
      <c r="N10" s="2">
        <f t="shared" si="6"/>
        <v>3</v>
      </c>
    </row>
    <row r="11" spans="1:14" x14ac:dyDescent="0.35">
      <c r="A11" s="2" t="s">
        <v>30</v>
      </c>
      <c r="B11" s="2">
        <v>1007</v>
      </c>
      <c r="C11" s="2" t="s">
        <v>31</v>
      </c>
      <c r="D11" s="2" t="s">
        <v>29</v>
      </c>
      <c r="E11" s="2" t="s">
        <v>32</v>
      </c>
      <c r="F11" s="2">
        <v>4</v>
      </c>
      <c r="G11" s="2">
        <v>3500</v>
      </c>
      <c r="H11" s="2">
        <f t="shared" si="0"/>
        <v>14000</v>
      </c>
      <c r="I11" s="2" t="str">
        <f t="shared" si="1"/>
        <v>High</v>
      </c>
      <c r="J11" s="2" t="str">
        <f t="shared" si="2"/>
        <v>Good</v>
      </c>
      <c r="K11" s="2" t="str">
        <f t="shared" si="3"/>
        <v>False</v>
      </c>
      <c r="L11" s="2" t="str">
        <f t="shared" si="4"/>
        <v>True</v>
      </c>
      <c r="M11" s="2" t="str">
        <f t="shared" si="5"/>
        <v>2026-03</v>
      </c>
      <c r="N11" s="2">
        <f t="shared" si="6"/>
        <v>3</v>
      </c>
    </row>
    <row r="12" spans="1:14" x14ac:dyDescent="0.35">
      <c r="A12" s="2" t="s">
        <v>33</v>
      </c>
      <c r="B12" s="2">
        <v>1008</v>
      </c>
      <c r="C12" s="2" t="s">
        <v>34</v>
      </c>
      <c r="D12" s="2" t="s">
        <v>24</v>
      </c>
      <c r="E12" s="2" t="s">
        <v>14</v>
      </c>
      <c r="F12" s="2">
        <v>6</v>
      </c>
      <c r="G12" s="2">
        <v>22000</v>
      </c>
      <c r="H12" s="2">
        <f t="shared" si="0"/>
        <v>132000</v>
      </c>
      <c r="I12" s="2" t="str">
        <f t="shared" si="1"/>
        <v>High</v>
      </c>
      <c r="J12" s="2" t="str">
        <f t="shared" si="2"/>
        <v>Excellent</v>
      </c>
      <c r="K12" s="2" t="str">
        <f t="shared" si="3"/>
        <v>True</v>
      </c>
      <c r="L12" s="2" t="str">
        <f t="shared" si="4"/>
        <v>True</v>
      </c>
      <c r="M12" s="2" t="str">
        <f t="shared" si="5"/>
        <v>2026-03</v>
      </c>
      <c r="N12" s="2">
        <f t="shared" si="6"/>
        <v>3</v>
      </c>
    </row>
    <row r="13" spans="1:14" x14ac:dyDescent="0.35">
      <c r="A13" s="2" t="s">
        <v>35</v>
      </c>
      <c r="B13" s="2">
        <v>1009</v>
      </c>
      <c r="C13" s="2" t="s">
        <v>36</v>
      </c>
      <c r="D13" s="2" t="s">
        <v>24</v>
      </c>
      <c r="E13" s="2" t="s">
        <v>17</v>
      </c>
      <c r="F13" s="2">
        <v>3</v>
      </c>
      <c r="G13" s="2">
        <v>1500</v>
      </c>
      <c r="H13" s="2">
        <f t="shared" si="0"/>
        <v>4500</v>
      </c>
      <c r="I13" s="2" t="str">
        <f t="shared" si="1"/>
        <v>Low</v>
      </c>
      <c r="J13" s="2" t="str">
        <f t="shared" si="2"/>
        <v>Average</v>
      </c>
      <c r="K13" s="2" t="str">
        <f t="shared" si="3"/>
        <v>True</v>
      </c>
      <c r="L13" s="2" t="str">
        <f t="shared" si="4"/>
        <v>False</v>
      </c>
      <c r="M13" s="2" t="str">
        <f t="shared" si="5"/>
        <v>2026-04</v>
      </c>
      <c r="N13" s="2">
        <f t="shared" si="6"/>
        <v>4</v>
      </c>
    </row>
    <row r="14" spans="1:14" x14ac:dyDescent="0.35">
      <c r="A14" s="2" t="s">
        <v>37</v>
      </c>
      <c r="B14" s="2">
        <v>1010</v>
      </c>
      <c r="C14" s="2" t="s">
        <v>38</v>
      </c>
      <c r="D14" s="2" t="s">
        <v>20</v>
      </c>
      <c r="E14" s="2" t="s">
        <v>32</v>
      </c>
      <c r="F14" s="2">
        <v>7</v>
      </c>
      <c r="G14" s="2">
        <v>450</v>
      </c>
      <c r="H14" s="2">
        <f t="shared" si="0"/>
        <v>3150</v>
      </c>
      <c r="I14" s="2" t="str">
        <f t="shared" si="1"/>
        <v>Low</v>
      </c>
      <c r="J14" s="2" t="str">
        <f t="shared" si="2"/>
        <v>Average</v>
      </c>
      <c r="K14" s="2" t="str">
        <f t="shared" si="3"/>
        <v>False</v>
      </c>
      <c r="L14" s="2" t="str">
        <f t="shared" si="4"/>
        <v>True</v>
      </c>
      <c r="M14" s="2" t="str">
        <f t="shared" si="5"/>
        <v>2026-04</v>
      </c>
      <c r="N14" s="2">
        <f t="shared" si="6"/>
        <v>4</v>
      </c>
    </row>
    <row r="15" spans="1:14" x14ac:dyDescent="0.35">
      <c r="A15" s="2" t="s">
        <v>39</v>
      </c>
      <c r="B15" s="2">
        <v>1011</v>
      </c>
      <c r="C15" s="2" t="s">
        <v>40</v>
      </c>
      <c r="D15" s="2" t="s">
        <v>13</v>
      </c>
      <c r="E15" s="2" t="s">
        <v>14</v>
      </c>
      <c r="F15" s="2">
        <v>12</v>
      </c>
      <c r="G15" s="2">
        <v>60</v>
      </c>
      <c r="H15" s="2">
        <f t="shared" si="0"/>
        <v>720</v>
      </c>
      <c r="I15" s="2" t="str">
        <f t="shared" si="1"/>
        <v>Low</v>
      </c>
      <c r="J15" s="2" t="str">
        <f t="shared" si="2"/>
        <v>Average</v>
      </c>
      <c r="K15" s="2" t="str">
        <f t="shared" si="3"/>
        <v>False</v>
      </c>
      <c r="L15" s="2" t="str">
        <f t="shared" si="4"/>
        <v>True</v>
      </c>
      <c r="M15" s="2" t="str">
        <f t="shared" si="5"/>
        <v>2026-05</v>
      </c>
      <c r="N15" s="2">
        <f t="shared" si="6"/>
        <v>5</v>
      </c>
    </row>
    <row r="16" spans="1:14" x14ac:dyDescent="0.35">
      <c r="A16" s="2" t="s">
        <v>41</v>
      </c>
      <c r="B16" s="2">
        <v>1012</v>
      </c>
      <c r="C16" s="2" t="s">
        <v>12</v>
      </c>
      <c r="D16" s="2" t="s">
        <v>13</v>
      </c>
      <c r="E16" s="2" t="s">
        <v>21</v>
      </c>
      <c r="F16" s="2">
        <v>8</v>
      </c>
      <c r="G16" s="2">
        <v>120</v>
      </c>
      <c r="H16" s="2">
        <f t="shared" si="0"/>
        <v>960</v>
      </c>
      <c r="I16" s="2" t="str">
        <f t="shared" si="1"/>
        <v>Low</v>
      </c>
      <c r="J16" s="2" t="str">
        <f t="shared" si="2"/>
        <v>Average</v>
      </c>
      <c r="K16" s="2" t="str">
        <f t="shared" si="3"/>
        <v>False</v>
      </c>
      <c r="L16" s="2" t="str">
        <f t="shared" si="4"/>
        <v>False</v>
      </c>
      <c r="M16" s="2" t="str">
        <f t="shared" si="5"/>
        <v>2026-05</v>
      </c>
      <c r="N16" s="2">
        <f t="shared" si="6"/>
        <v>5</v>
      </c>
    </row>
    <row r="17" spans="1:14" x14ac:dyDescent="0.35">
      <c r="A17" s="2" t="s">
        <v>42</v>
      </c>
      <c r="B17" s="2">
        <v>1013</v>
      </c>
      <c r="C17" s="2" t="s">
        <v>43</v>
      </c>
      <c r="D17" s="2" t="s">
        <v>24</v>
      </c>
      <c r="E17" s="2" t="s">
        <v>32</v>
      </c>
      <c r="F17" s="2">
        <v>1</v>
      </c>
      <c r="G17" s="2">
        <v>8999</v>
      </c>
      <c r="H17" s="2">
        <f t="shared" si="0"/>
        <v>8999</v>
      </c>
      <c r="I17" s="2" t="str">
        <f t="shared" si="1"/>
        <v>Low</v>
      </c>
      <c r="J17" s="2" t="str">
        <f t="shared" si="2"/>
        <v>Good</v>
      </c>
      <c r="K17" s="2" t="str">
        <f t="shared" si="3"/>
        <v>False</v>
      </c>
      <c r="L17" s="2" t="str">
        <f t="shared" si="4"/>
        <v>True</v>
      </c>
      <c r="M17" s="2" t="str">
        <f t="shared" si="5"/>
        <v>2026-05</v>
      </c>
      <c r="N17" s="2">
        <f t="shared" si="6"/>
        <v>5</v>
      </c>
    </row>
    <row r="18" spans="1:14" x14ac:dyDescent="0.35">
      <c r="A18" s="2" t="s">
        <v>44</v>
      </c>
      <c r="B18" s="2">
        <v>1014</v>
      </c>
      <c r="C18" s="2" t="s">
        <v>45</v>
      </c>
      <c r="D18" s="2" t="s">
        <v>46</v>
      </c>
      <c r="E18" s="2" t="s">
        <v>14</v>
      </c>
      <c r="F18" s="2">
        <v>10</v>
      </c>
      <c r="G18" s="2">
        <v>199</v>
      </c>
      <c r="H18" s="2">
        <f t="shared" si="0"/>
        <v>1990</v>
      </c>
      <c r="I18" s="2" t="str">
        <f t="shared" si="1"/>
        <v>Low</v>
      </c>
      <c r="J18" s="2" t="str">
        <f t="shared" si="2"/>
        <v>Average</v>
      </c>
      <c r="K18" s="2" t="str">
        <f t="shared" si="3"/>
        <v>False</v>
      </c>
      <c r="L18" s="2" t="str">
        <f t="shared" si="4"/>
        <v>True</v>
      </c>
      <c r="M18" s="2" t="str">
        <f t="shared" si="5"/>
        <v>2026-06</v>
      </c>
      <c r="N18" s="2">
        <f t="shared" si="6"/>
        <v>6</v>
      </c>
    </row>
    <row r="19" spans="1:14" x14ac:dyDescent="0.35">
      <c r="A19" s="2" t="s">
        <v>47</v>
      </c>
      <c r="B19" s="2">
        <v>1015</v>
      </c>
      <c r="C19" s="2" t="s">
        <v>48</v>
      </c>
      <c r="D19" s="2" t="s">
        <v>46</v>
      </c>
      <c r="E19" s="2" t="s">
        <v>17</v>
      </c>
      <c r="F19" s="2">
        <v>5</v>
      </c>
      <c r="G19" s="2">
        <v>499</v>
      </c>
      <c r="H19" s="2">
        <f t="shared" si="0"/>
        <v>2495</v>
      </c>
      <c r="I19" s="2" t="str">
        <f t="shared" si="1"/>
        <v>Low</v>
      </c>
      <c r="J19" s="2" t="str">
        <f t="shared" si="2"/>
        <v>Average</v>
      </c>
      <c r="K19" s="2" t="str">
        <f t="shared" si="3"/>
        <v>False</v>
      </c>
      <c r="L19" s="2" t="str">
        <f t="shared" si="4"/>
        <v>False</v>
      </c>
      <c r="M19" s="2" t="str">
        <f t="shared" si="5"/>
        <v>2026-06</v>
      </c>
      <c r="N19" s="2">
        <f t="shared" si="6"/>
        <v>6</v>
      </c>
    </row>
    <row r="20" spans="1:14" x14ac:dyDescent="0.35">
      <c r="A20" s="2" t="s">
        <v>49</v>
      </c>
      <c r="B20" s="2">
        <v>1016</v>
      </c>
      <c r="C20" s="2" t="s">
        <v>16</v>
      </c>
      <c r="D20" s="2" t="s">
        <v>13</v>
      </c>
      <c r="E20" s="2" t="s">
        <v>32</v>
      </c>
      <c r="F20" s="2">
        <v>15</v>
      </c>
      <c r="G20" s="2">
        <v>25</v>
      </c>
      <c r="H20" s="2">
        <f t="shared" si="0"/>
        <v>375</v>
      </c>
      <c r="I20" s="2" t="str">
        <f t="shared" si="1"/>
        <v>Low</v>
      </c>
      <c r="J20" s="2" t="str">
        <f t="shared" si="2"/>
        <v>Average</v>
      </c>
      <c r="K20" s="2" t="str">
        <f t="shared" si="3"/>
        <v>False</v>
      </c>
      <c r="L20" s="2" t="str">
        <f t="shared" si="4"/>
        <v>True</v>
      </c>
      <c r="M20" s="2" t="str">
        <f t="shared" si="5"/>
        <v>2026-06</v>
      </c>
      <c r="N20" s="2">
        <f t="shared" si="6"/>
        <v>6</v>
      </c>
    </row>
    <row r="21" spans="1:14" x14ac:dyDescent="0.35">
      <c r="A21" s="2" t="s">
        <v>50</v>
      </c>
      <c r="B21" s="2">
        <v>1017</v>
      </c>
      <c r="C21" s="2" t="s">
        <v>31</v>
      </c>
      <c r="D21" s="2" t="s">
        <v>29</v>
      </c>
      <c r="E21" s="2" t="s">
        <v>14</v>
      </c>
      <c r="F21" s="2">
        <v>2</v>
      </c>
      <c r="G21" s="2">
        <v>3500</v>
      </c>
      <c r="H21" s="2">
        <f t="shared" si="0"/>
        <v>7000</v>
      </c>
      <c r="I21" s="2" t="str">
        <f t="shared" si="1"/>
        <v>Low</v>
      </c>
      <c r="J21" s="2" t="str">
        <f t="shared" si="2"/>
        <v>Average</v>
      </c>
      <c r="K21" s="2" t="str">
        <f t="shared" si="3"/>
        <v>False</v>
      </c>
      <c r="L21" s="2" t="str">
        <f t="shared" si="4"/>
        <v>True</v>
      </c>
      <c r="M21" s="2" t="str">
        <f t="shared" si="5"/>
        <v>2026-07</v>
      </c>
      <c r="N21" s="2">
        <f t="shared" si="6"/>
        <v>7</v>
      </c>
    </row>
    <row r="22" spans="1:14" x14ac:dyDescent="0.35">
      <c r="A22" s="2" t="s">
        <v>51</v>
      </c>
      <c r="B22" s="2">
        <v>1018</v>
      </c>
      <c r="C22" s="2" t="s">
        <v>52</v>
      </c>
      <c r="D22" s="2" t="s">
        <v>24</v>
      </c>
      <c r="E22" s="2" t="s">
        <v>21</v>
      </c>
      <c r="F22" s="2">
        <v>3</v>
      </c>
      <c r="G22" s="2">
        <v>2499</v>
      </c>
      <c r="H22" s="2">
        <f t="shared" si="0"/>
        <v>7497</v>
      </c>
      <c r="I22" s="2" t="str">
        <f t="shared" si="1"/>
        <v>Low</v>
      </c>
      <c r="J22" s="2" t="str">
        <f t="shared" si="2"/>
        <v>Average</v>
      </c>
      <c r="K22" s="2" t="str">
        <f t="shared" si="3"/>
        <v>True</v>
      </c>
      <c r="L22" s="2" t="str">
        <f t="shared" si="4"/>
        <v>False</v>
      </c>
      <c r="M22" s="2" t="str">
        <f t="shared" si="5"/>
        <v>2026-07</v>
      </c>
      <c r="N22" s="2">
        <f t="shared" si="6"/>
        <v>7</v>
      </c>
    </row>
    <row r="23" spans="1:14" x14ac:dyDescent="0.35">
      <c r="A23" s="2" t="s">
        <v>53</v>
      </c>
      <c r="B23" s="2">
        <v>1019</v>
      </c>
      <c r="C23" s="2" t="s">
        <v>12</v>
      </c>
      <c r="D23" s="2" t="s">
        <v>13</v>
      </c>
      <c r="E23" s="2" t="s">
        <v>17</v>
      </c>
      <c r="F23" s="2">
        <v>6</v>
      </c>
      <c r="G23" s="2">
        <v>120</v>
      </c>
      <c r="H23" s="2">
        <f t="shared" si="0"/>
        <v>720</v>
      </c>
      <c r="I23" s="2" t="str">
        <f t="shared" si="1"/>
        <v>Low</v>
      </c>
      <c r="J23" s="2" t="str">
        <f t="shared" si="2"/>
        <v>Average</v>
      </c>
      <c r="K23" s="2" t="str">
        <f t="shared" si="3"/>
        <v>False</v>
      </c>
      <c r="L23" s="2" t="str">
        <f t="shared" si="4"/>
        <v>False</v>
      </c>
      <c r="M23" s="2" t="str">
        <f t="shared" si="5"/>
        <v>2026-07</v>
      </c>
      <c r="N23" s="2">
        <f t="shared" si="6"/>
        <v>7</v>
      </c>
    </row>
    <row r="24" spans="1:14" x14ac:dyDescent="0.35">
      <c r="A24" s="2" t="s">
        <v>54</v>
      </c>
      <c r="B24" s="2">
        <v>1020</v>
      </c>
      <c r="C24" s="2" t="s">
        <v>34</v>
      </c>
      <c r="D24" s="2" t="s">
        <v>24</v>
      </c>
      <c r="E24" s="2" t="s">
        <v>32</v>
      </c>
      <c r="F24" s="2">
        <v>2</v>
      </c>
      <c r="G24" s="2">
        <v>22000</v>
      </c>
      <c r="H24" s="2">
        <f t="shared" si="0"/>
        <v>44000</v>
      </c>
      <c r="I24" s="2" t="str">
        <f t="shared" si="1"/>
        <v>High</v>
      </c>
      <c r="J24" s="2" t="str">
        <f t="shared" si="2"/>
        <v>Excellent</v>
      </c>
      <c r="K24" s="2" t="str">
        <f t="shared" si="3"/>
        <v>True</v>
      </c>
      <c r="L24" s="2" t="str">
        <f t="shared" si="4"/>
        <v>True</v>
      </c>
      <c r="M24" s="2" t="str">
        <f t="shared" si="5"/>
        <v>1900-01</v>
      </c>
      <c r="N24" s="2">
        <f t="shared" si="6"/>
        <v>1</v>
      </c>
    </row>
    <row r="26" spans="1:14" x14ac:dyDescent="0.35">
      <c r="A26" s="7" t="s">
        <v>55</v>
      </c>
      <c r="B26" s="5"/>
      <c r="C26" s="5"/>
      <c r="D26" s="5"/>
      <c r="E26" s="5"/>
      <c r="F26" s="5"/>
      <c r="G26" s="5"/>
      <c r="H26" s="5"/>
      <c r="I26" s="5"/>
      <c r="J26" s="5"/>
    </row>
    <row r="27" spans="1:14" s="3" customFormat="1" ht="29" x14ac:dyDescent="0.35">
      <c r="A27" s="12" t="s">
        <v>56</v>
      </c>
      <c r="B27" s="11">
        <f>SUM(F5:F24)</f>
        <v>106</v>
      </c>
      <c r="C27" s="11"/>
      <c r="D27" s="11"/>
      <c r="E27" s="11"/>
      <c r="F27" s="11"/>
    </row>
    <row r="28" spans="1:14" s="3" customFormat="1" ht="58" x14ac:dyDescent="0.35">
      <c r="A28" s="12" t="s">
        <v>57</v>
      </c>
      <c r="B28" s="11">
        <f>SUM(H5:H24)</f>
        <v>240703</v>
      </c>
      <c r="C28" s="11"/>
      <c r="D28" s="11"/>
      <c r="E28" s="11"/>
      <c r="F28" s="11"/>
    </row>
    <row r="29" spans="1:14" s="3" customFormat="1" ht="29" x14ac:dyDescent="0.35">
      <c r="A29" s="12" t="s">
        <v>58</v>
      </c>
      <c r="B29" s="11">
        <f>AVERAGE(G5:G24)</f>
        <v>3778.2</v>
      </c>
      <c r="C29" s="11"/>
      <c r="D29" s="11"/>
      <c r="E29" s="11"/>
      <c r="F29" s="11"/>
    </row>
    <row r="30" spans="1:14" s="3" customFormat="1" ht="29" x14ac:dyDescent="0.35">
      <c r="A30" s="12" t="s">
        <v>59</v>
      </c>
      <c r="B30" s="11">
        <f>COUNT(B5:B24)</f>
        <v>20</v>
      </c>
      <c r="C30" s="11"/>
      <c r="D30" s="11"/>
      <c r="E30" s="11"/>
      <c r="F30" s="11"/>
    </row>
    <row r="31" spans="1:14" s="3" customFormat="1" ht="29" x14ac:dyDescent="0.35">
      <c r="A31" s="12" t="s">
        <v>60</v>
      </c>
      <c r="B31" s="11">
        <f>COUNTA(H5:H24)</f>
        <v>20</v>
      </c>
      <c r="C31" s="11"/>
      <c r="D31" s="11"/>
      <c r="E31" s="11"/>
      <c r="F31" s="11"/>
    </row>
    <row r="33" spans="1:10" x14ac:dyDescent="0.35">
      <c r="A33" s="8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</row>
    <row r="36" spans="1:10" x14ac:dyDescent="0.35">
      <c r="A36" s="7" t="s">
        <v>61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5">
      <c r="A37" s="5" t="s">
        <v>62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35">
      <c r="A38" s="5" t="s">
        <v>63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35">
      <c r="A39" s="5" t="s">
        <v>64</v>
      </c>
      <c r="B39" s="5"/>
      <c r="C39" s="5"/>
      <c r="D39" s="5"/>
      <c r="E39" s="5"/>
      <c r="F39" s="5"/>
      <c r="G39" s="5"/>
      <c r="H39" s="5"/>
      <c r="I39" s="5"/>
      <c r="J39" s="5"/>
    </row>
    <row r="41" spans="1:10" x14ac:dyDescent="0.35">
      <c r="A41" s="7" t="s">
        <v>65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s="3" customFormat="1" ht="43.5" x14ac:dyDescent="0.35">
      <c r="A42" s="10" t="s">
        <v>66</v>
      </c>
      <c r="B42" s="13">
        <f>COUNTIF(D5:D24, "Stationery")</f>
        <v>6</v>
      </c>
    </row>
    <row r="43" spans="1:10" s="3" customFormat="1" ht="29" x14ac:dyDescent="0.35">
      <c r="A43" s="10" t="s">
        <v>67</v>
      </c>
      <c r="B43" s="13">
        <f>SUMIF(D5:D24, "Electronics", H5:H24)</f>
        <v>199893</v>
      </c>
    </row>
    <row r="44" spans="1:10" s="3" customFormat="1" ht="43.5" x14ac:dyDescent="0.35">
      <c r="A44" s="10" t="s">
        <v>68</v>
      </c>
      <c r="B44" s="13">
        <f>COUNTIFS(F5:F24, "&gt;5")</f>
        <v>8</v>
      </c>
    </row>
    <row r="46" spans="1:10" x14ac:dyDescent="0.35">
      <c r="A46" s="7" t="s">
        <v>69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35">
      <c r="A47" s="9" t="s">
        <v>70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</row>
  </sheetData>
  <mergeCells count="16">
    <mergeCell ref="A47:J48"/>
    <mergeCell ref="B27:F27"/>
    <mergeCell ref="A41:J41"/>
    <mergeCell ref="A46:J46"/>
    <mergeCell ref="B28:F28"/>
    <mergeCell ref="A3:J3"/>
    <mergeCell ref="A39:J39"/>
    <mergeCell ref="A33:J34"/>
    <mergeCell ref="B31:F31"/>
    <mergeCell ref="A26:J26"/>
    <mergeCell ref="A38:J38"/>
    <mergeCell ref="B30:F30"/>
    <mergeCell ref="A1:J1"/>
    <mergeCell ref="B29:F29"/>
    <mergeCell ref="A37:J37"/>
    <mergeCell ref="A36:J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opLeftCell="A2" workbookViewId="0">
      <selection activeCell="B13" sqref="B13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3" width="9.81640625" bestFit="1" customWidth="1"/>
    <col min="4" max="4" width="8.6328125" bestFit="1" customWidth="1"/>
    <col min="5" max="5" width="5.81640625" bestFit="1" customWidth="1"/>
    <col min="6" max="6" width="9.453125" bestFit="1" customWidth="1"/>
    <col min="7" max="7" width="10.7265625" bestFit="1" customWidth="1"/>
    <col min="8" max="8" width="15" customWidth="1"/>
    <col min="9" max="9" width="12" customWidth="1"/>
    <col min="10" max="10" width="20" customWidth="1"/>
  </cols>
  <sheetData>
    <row r="1" spans="1:7" ht="18.5" x14ac:dyDescent="0.45">
      <c r="A1" s="4" t="s">
        <v>71</v>
      </c>
    </row>
    <row r="2" spans="1:7" x14ac:dyDescent="0.35">
      <c r="A2" t="s">
        <v>72</v>
      </c>
    </row>
    <row r="3" spans="1:7" x14ac:dyDescent="0.35">
      <c r="A3" t="s">
        <v>73</v>
      </c>
    </row>
    <row r="4" spans="1:7" x14ac:dyDescent="0.35">
      <c r="A4" t="s">
        <v>74</v>
      </c>
    </row>
    <row r="5" spans="1:7" x14ac:dyDescent="0.35">
      <c r="A5" t="s">
        <v>75</v>
      </c>
    </row>
    <row r="6" spans="1:7" x14ac:dyDescent="0.35">
      <c r="A6" t="s">
        <v>76</v>
      </c>
    </row>
    <row r="7" spans="1:7" x14ac:dyDescent="0.35">
      <c r="A7" t="s">
        <v>77</v>
      </c>
    </row>
    <row r="8" spans="1:7" x14ac:dyDescent="0.35">
      <c r="A8" t="s">
        <v>78</v>
      </c>
    </row>
    <row r="11" spans="1:7" x14ac:dyDescent="0.35">
      <c r="B11" s="14" t="s">
        <v>83</v>
      </c>
    </row>
    <row r="12" spans="1:7" x14ac:dyDescent="0.35">
      <c r="B12" t="s">
        <v>46</v>
      </c>
      <c r="C12" t="s">
        <v>24</v>
      </c>
      <c r="D12" t="s">
        <v>29</v>
      </c>
      <c r="E12" t="s">
        <v>20</v>
      </c>
      <c r="F12" t="s">
        <v>13</v>
      </c>
      <c r="G12" t="s">
        <v>80</v>
      </c>
    </row>
    <row r="13" spans="1:7" x14ac:dyDescent="0.35">
      <c r="A13" t="s">
        <v>84</v>
      </c>
      <c r="B13" s="15">
        <v>4485</v>
      </c>
      <c r="C13" s="15">
        <v>199893</v>
      </c>
      <c r="D13" s="15">
        <v>28500</v>
      </c>
      <c r="E13" s="15">
        <v>4200</v>
      </c>
      <c r="F13" s="15">
        <v>3625</v>
      </c>
      <c r="G13" s="15">
        <v>240703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3 Practice</vt:lpstr>
      <vt:lpstr>Pivot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 Karanakota</cp:lastModifiedBy>
  <dcterms:created xsi:type="dcterms:W3CDTF">2026-01-08T10:53:10Z</dcterms:created>
  <dcterms:modified xsi:type="dcterms:W3CDTF">2026-01-08T17:33:42Z</dcterms:modified>
</cp:coreProperties>
</file>