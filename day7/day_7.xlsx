
<file path=[Content_Types].xml><?xml version="1.0" encoding="utf-8"?>
<Types xmlns="http://schemas.openxmlformats.org/package/2006/content-types"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omal\Documents\MY CODES\90-Days-Data-Analytics-Challenge\day7\"/>
    </mc:Choice>
  </mc:AlternateContent>
  <xr:revisionPtr revIDLastSave="0" documentId="13_ncr:1_{B2613C28-30CC-44C5-8B0F-889E2164AEE1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ay 7 - Logical Practice" sheetId="1" r:id="rId1"/>
    <sheet name="Conditional Aggregates" sheetId="2" r:id="rId2"/>
    <sheet name="Lookup Challenge" sheetId="3" r:id="rId3"/>
    <sheet name="Dashboard" sheetId="4" r:id="rId4"/>
  </sheets>
  <calcPr calcId="191029"/>
  <pivotCaches>
    <pivotCache cacheId="4" r:id="rId5"/>
  </pivotCaches>
</workbook>
</file>

<file path=xl/calcChain.xml><?xml version="1.0" encoding="utf-8"?>
<calcChain xmlns="http://schemas.openxmlformats.org/spreadsheetml/2006/main">
  <c r="F6" i="4" l="1"/>
  <c r="F5" i="4"/>
  <c r="F4" i="4"/>
  <c r="F4" i="3"/>
  <c r="F5" i="3"/>
  <c r="F6" i="3"/>
  <c r="E5" i="3"/>
  <c r="E6" i="3"/>
  <c r="E4" i="3"/>
  <c r="D16" i="2"/>
  <c r="D15" i="2"/>
  <c r="D14" i="2"/>
  <c r="D13" i="2"/>
  <c r="F5" i="1"/>
  <c r="F6" i="1"/>
  <c r="F7" i="1"/>
  <c r="F8" i="1"/>
  <c r="F4" i="1"/>
  <c r="E5" i="1"/>
  <c r="E6" i="1"/>
  <c r="E7" i="1"/>
  <c r="E8" i="1"/>
  <c r="E4" i="1"/>
  <c r="D5" i="1"/>
  <c r="D6" i="1"/>
  <c r="D7" i="1"/>
  <c r="D8" i="1"/>
  <c r="D4" i="1"/>
</calcChain>
</file>

<file path=xl/sharedStrings.xml><?xml version="1.0" encoding="utf-8"?>
<sst xmlns="http://schemas.openxmlformats.org/spreadsheetml/2006/main" count="100" uniqueCount="69">
  <si>
    <t>Day 7 Practice — Advanced Logical Functions</t>
  </si>
  <si>
    <t>Student</t>
  </si>
  <si>
    <t>Score</t>
  </si>
  <si>
    <t>Attendance %</t>
  </si>
  <si>
    <t>Grade</t>
  </si>
  <si>
    <t>Result</t>
  </si>
  <si>
    <t>Remarks</t>
  </si>
  <si>
    <t>Aarav</t>
  </si>
  <si>
    <t>Meera</t>
  </si>
  <si>
    <t>Kabir</t>
  </si>
  <si>
    <t>Riya</t>
  </si>
  <si>
    <t>Ananya</t>
  </si>
  <si>
    <t>Tasks:</t>
  </si>
  <si>
    <t>1. Nested IF for Grade: &gt;=85=A, &gt;=70=B, &gt;=50=C, else D.</t>
  </si>
  <si>
    <t>2. IF + AND: Pass if Score&gt;=40 AND Attendance&gt;=75.</t>
  </si>
  <si>
    <t>3. IF + OR: 'Attention' if Score&lt;40 OR Attendance&lt;70.</t>
  </si>
  <si>
    <t>Day 7 Practice — COUNTIFS / SUMIFS / AVERAGEIFS</t>
  </si>
  <si>
    <t>Order ID</t>
  </si>
  <si>
    <t>Category</t>
  </si>
  <si>
    <t>Region</t>
  </si>
  <si>
    <t>Revenue</t>
  </si>
  <si>
    <t>Electronics</t>
  </si>
  <si>
    <t>North</t>
  </si>
  <si>
    <t>South</t>
  </si>
  <si>
    <t>Furniture</t>
  </si>
  <si>
    <t>Stationery</t>
  </si>
  <si>
    <t>East</t>
  </si>
  <si>
    <t>1. Count Electronics orders in North.</t>
  </si>
  <si>
    <t>2. Sum Revenue for Furniture in South.</t>
  </si>
  <si>
    <t>3. Average Revenue for Electronics.</t>
  </si>
  <si>
    <t>4. Count orders with Revenue &gt; 5000.</t>
  </si>
  <si>
    <t>Day 7 Practice — Lookup Challenge</t>
  </si>
  <si>
    <t>Emp ID</t>
  </si>
  <si>
    <t>Name</t>
  </si>
  <si>
    <t>Dept ID</t>
  </si>
  <si>
    <t>Salary</t>
  </si>
  <si>
    <t>Dept Name</t>
  </si>
  <si>
    <t>Manager</t>
  </si>
  <si>
    <t>Aisha</t>
  </si>
  <si>
    <t>Rahul</t>
  </si>
  <si>
    <t>Sneha</t>
  </si>
  <si>
    <t>Department Table</t>
  </si>
  <si>
    <t>Analytics</t>
  </si>
  <si>
    <t>Rohit</t>
  </si>
  <si>
    <t>Marketing</t>
  </si>
  <si>
    <t>Anita</t>
  </si>
  <si>
    <t>HR</t>
  </si>
  <si>
    <t>Kunal</t>
  </si>
  <si>
    <t>1. Fetch Dept Name using lookup.</t>
  </si>
  <si>
    <t>2. Fetch Manager using lookup.</t>
  </si>
  <si>
    <t>3. Try both VLOOKUP and INDEX+MATCH.</t>
  </si>
  <si>
    <t>Day 7 Practice — Mini Dashboard Challenge</t>
  </si>
  <si>
    <t>Month</t>
  </si>
  <si>
    <t>KPI Area</t>
  </si>
  <si>
    <t>Jan</t>
  </si>
  <si>
    <t>Total Revenue:</t>
  </si>
  <si>
    <t>Highest Month Revenue:</t>
  </si>
  <si>
    <t>Feb</t>
  </si>
  <si>
    <t>Lowest Month Revenue:</t>
  </si>
  <si>
    <t>Mar</t>
  </si>
  <si>
    <t>Accessories</t>
  </si>
  <si>
    <t>1. Create KPIs using formulas.</t>
  </si>
  <si>
    <t>2. Create Pivot Table.</t>
  </si>
  <si>
    <t>3. Build chart from Pivot.</t>
  </si>
  <si>
    <t>4. Format like mini dashboard.</t>
  </si>
  <si>
    <t>Row Labels</t>
  </si>
  <si>
    <t>Grand Total</t>
  </si>
  <si>
    <t>Sum of Revenue</t>
  </si>
  <si>
    <t>Average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</si>
</sst>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0" borderId="1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[day_7.xlsx]Dashboard!PivotTable1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revenue by</a:t>
            </a:r>
            <a:r>
              <a:rPr lang="en-US" baseline="0"/>
              <a:t>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98000"/>
                  <a:lumMod val="100000"/>
                </a:schemeClr>
              </a:gs>
              <a:gs pos="100000">
                <a:schemeClr val="accent1">
                  <a:shade val="88000"/>
                  <a:lumMod val="88000"/>
                </a:schemeClr>
              </a:gs>
            </a:gsLst>
            <a:lin ang="5400000" scaled="1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tint val="98000"/>
                    <a:lumMod val="100000"/>
                  </a:schemeClr>
                </a:gs>
                <a:gs pos="100000">
                  <a:schemeClr val="accent1">
                    <a:shade val="88000"/>
                    <a:lumMod val="88000"/>
                  </a:schemeClr>
                </a:gs>
              </a:gsLst>
              <a:lin ang="5400000" scaled="1"/>
            </a:gradFill>
            <a:ln w="12700">
              <a:solidFill>
                <a:schemeClr val="lt2"/>
              </a:solidFill>
              <a:round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98000"/>
                    <a:lumMod val="100000"/>
                  </a:schemeClr>
                </a:gs>
                <a:gs pos="100000">
                  <a:schemeClr val="accent1">
                    <a:shade val="88000"/>
                    <a:lumMod val="88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Dashboard!$G$9:$G$12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Dashboard!$H$9:$H$12</c:f>
              <c:numCache>
                <c:formatCode>General</c:formatCode>
                <c:ptCount val="3"/>
                <c:pt idx="0">
                  <c:v>20000</c:v>
                </c:pt>
                <c:pt idx="1">
                  <c:v>18000</c:v>
                </c:pt>
                <c:pt idx="2">
                  <c:v>23800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D-4892-8897-F851A5A26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35605695"/>
        <c:axId val="1435604255"/>
      </c:barChart>
      <c:catAx>
        <c:axId val="14356056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604255"/>
        <c:crosses val="autoZero"/>
        <c:auto val="1"/>
        <c:lblAlgn val="ctr"/>
        <c:lblOffset val="100"/>
        <c:noMultiLvlLbl val="0"/>
      </c:catAx>
      <c:valAx>
        <c:axId val="1435604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605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[day_7.xlsx]Dashboard!PivotTable2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of </a:t>
            </a:r>
            <a:r>
              <a:rPr lang="en-IN"/>
              <a:t>revenue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tint val="98000"/>
                  <a:lumMod val="100000"/>
                </a:schemeClr>
              </a:gs>
              <a:gs pos="100000">
                <a:schemeClr val="accent6">
                  <a:shade val="88000"/>
                  <a:lumMod val="88000"/>
                </a:schemeClr>
              </a:gs>
            </a:gsLst>
            <a:lin ang="5400000" scaled="1"/>
          </a:gradFill>
          <a:ln>
            <a:noFill/>
          </a:ln>
          <a:effectLst>
            <a:outerShdw blurRad="50800" dist="381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tint val="98000"/>
                    <a:lumMod val="100000"/>
                  </a:schemeClr>
                </a:gs>
                <a:gs pos="100000">
                  <a:schemeClr val="accent6">
                    <a:shade val="88000"/>
                    <a:lumMod val="88000"/>
                  </a:schemeClr>
                </a:gs>
              </a:gsLst>
              <a:lin ang="5400000" scaled="1"/>
            </a:gradFill>
            <a:ln w="12700">
              <a:solidFill>
                <a:schemeClr val="lt2"/>
              </a:solidFill>
              <a:round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Dashboard!$K$8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98000"/>
                    <a:lumMod val="100000"/>
                  </a:schemeClr>
                </a:gs>
                <a:gs pos="100000">
                  <a:schemeClr val="accent6">
                    <a:shade val="88000"/>
                    <a:lumMod val="88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50800" dist="381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Dashboard!$J$9:$J$13</c:f>
              <c:strCache>
                <c:ptCount val="4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  <c:pt idx="3">
                  <c:v>Stationery</c:v>
                </c:pt>
              </c:strCache>
            </c:strRef>
          </c:cat>
          <c:val>
            <c:numRef>
              <c:f>Dashboard!$K$9:$K$13</c:f>
              <c:numCache>
                <c:formatCode>General</c:formatCode>
                <c:ptCount val="4"/>
                <c:pt idx="0">
                  <c:v>1800</c:v>
                </c:pt>
                <c:pt idx="1">
                  <c:v>16333.333333333334</c:v>
                </c:pt>
                <c:pt idx="2">
                  <c:v>8000</c:v>
                </c:pt>
                <c:pt idx="3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8-4C21-9AC6-217806853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44849919"/>
        <c:axId val="1344850879"/>
      </c:barChart>
      <c:catAx>
        <c:axId val="13448499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850879"/>
        <c:crosses val="autoZero"/>
        <c:auto val="1"/>
        <c:lblAlgn val="ctr"/>
        <c:lblOffset val="100"/>
        <c:noMultiLvlLbl val="0"/>
      </c:catAx>
      <c:valAx>
        <c:axId val="13448508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484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205510</xdr:colOff>
      <xdr:row>14</xdr:row>
      <xdr:rowOff>9815</xdr:rowOff>
    </xdr:from>
    <xdr:to>
      <xdr:col>4</xdr:col>
      <xdr:colOff>1148196</xdr:colOff>
      <xdr:row>28</xdr:row>
      <xdr:rowOff>178378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CD966-D2C4-CD2E-52E0-C1B6C46E5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1814657</xdr:colOff>
      <xdr:row>13</xdr:row>
      <xdr:rowOff>182996</xdr:rowOff>
    </xdr:from>
    <xdr:to>
      <xdr:col>10</xdr:col>
      <xdr:colOff>621433</xdr:colOff>
      <xdr:row>28</xdr:row>
      <xdr:rowOff>163946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CE9321-C743-2D8E-9631-F64B05A8A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mal Karanakota" refreshedDate="46035.835363888888" createdVersion="8" refreshedVersion="8" minRefreshableVersion="3" recordCount="6" xr:uid="{9AA6C406-B737-4540-A962-4E774FEAE08B}">
  <cacheSource type="worksheet">
    <worksheetSource ref="A3:C9" sheet="Dashboard"/>
  </cacheSource>
  <cacheFields count="3">
    <cacheField name="Month" numFmtId="0">
      <sharedItems count="3">
        <s v="Jan"/>
        <s v="Feb"/>
        <s v="Mar"/>
      </sharedItems>
    </cacheField>
    <cacheField name="Category" numFmtId="0">
      <sharedItems count="4">
        <s v="Electronics"/>
        <s v="Furniture"/>
        <s v="Stationery"/>
        <s v="Accessories"/>
      </sharedItems>
    </cacheField>
    <cacheField name="Revenue" numFmtId="0">
      <sharedItems containsSemiMixedTypes="0" containsString="0" containsNumber="1" containsInteger="1" minValue="1800" maxValue="2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2000"/>
  </r>
  <r>
    <x v="0"/>
    <x v="1"/>
    <n v="8000"/>
  </r>
  <r>
    <x v="1"/>
    <x v="0"/>
    <n v="15000"/>
  </r>
  <r>
    <x v="1"/>
    <x v="2"/>
    <n v="3000"/>
  </r>
  <r>
    <x v="2"/>
    <x v="0"/>
    <n v="22000"/>
  </r>
  <r>
    <x v="2"/>
    <x v="3"/>
    <n v="1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C37FCA-E314-43DA-B616-71B7C5973415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8:K13" firstHeaderRow="1" firstDataRow="1" firstDataCol="1"/>
  <pivotFields count="3">
    <pivotField showAll="0">
      <items count="4">
        <item x="0"/>
        <item x="1"/>
        <item x="2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venue" fld="2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A9D50-5247-48B4-9A49-49964D6418B2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G8:H12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elestial">
  <a:themeElements>
    <a:clrScheme name="Celestial">
      <a:dk1>
        <a:sysClr val="windowText" lastClr="000000"/>
      </a:dk1>
      <a:lt1>
        <a:sysClr val="window" lastClr="FFFFFF"/>
      </a:lt1>
      <a:dk2>
        <a:srgbClr val="18276C"/>
      </a:dk2>
      <a:lt2>
        <a:srgbClr val="EBEBEB"/>
      </a:lt2>
      <a:accent1>
        <a:srgbClr val="AC3EC1"/>
      </a:accent1>
      <a:accent2>
        <a:srgbClr val="477BD1"/>
      </a:accent2>
      <a:accent3>
        <a:srgbClr val="46B298"/>
      </a:accent3>
      <a:accent4>
        <a:srgbClr val="90BA4C"/>
      </a:accent4>
      <a:accent5>
        <a:srgbClr val="DD9D31"/>
      </a:accent5>
      <a:accent6>
        <a:srgbClr val="E25247"/>
      </a:accent6>
      <a:hlink>
        <a:srgbClr val="C573D2"/>
      </a:hlink>
      <a:folHlink>
        <a:srgbClr val="CCAEE8"/>
      </a:folHlink>
    </a:clrScheme>
    <a:fontScheme name="Celestial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elestial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82000"/>
                <a:alpha val="74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00000"/>
              </a:schemeClr>
            </a:gs>
            <a:gs pos="100000">
              <a:schemeClr val="phClr">
                <a:shade val="88000"/>
                <a:lumMod val="88000"/>
              </a:schemeClr>
            </a:gs>
          </a:gsLst>
          <a:lin ang="5400000" scaled="1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127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6000"/>
                <a:hueMod val="100000"/>
                <a:satMod val="180000"/>
                <a:lumMod val="110000"/>
              </a:schemeClr>
            </a:gs>
            <a:gs pos="100000">
              <a:schemeClr val="phClr">
                <a:shade val="96000"/>
                <a:satMod val="160000"/>
                <a:lumMod val="100000"/>
              </a:schemeClr>
            </a:gs>
          </a:gsLst>
          <a:lin ang="4740000" scaled="1"/>
        </a:gradFill>
        <a:blipFill>
          <a:blip xmlns:r="http://schemas.openxmlformats.org/officeDocument/2006/relationships" r:embed="rId1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elestial" id="{C4BB2A3D-0E93-4C5F-B0D2-9D3FCE089CC5}" vid="{42E5908D-19A2-46FD-89FA-638B126129EF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zoomScale="96" workbookViewId="0">
      <selection activeCell="H6" sqref="H6"/>
    </sheetView>
  </sheetViews>
  <sheetFormatPr defaultRowHeight="14.5" x14ac:dyDescent="0.35"/>
  <cols>
    <col min="1" max="1" width="18" customWidth="1"/>
    <col min="2" max="2" width="12" customWidth="1"/>
    <col min="3" max="3" width="16" customWidth="1"/>
    <col min="4" max="4" width="12" customWidth="1"/>
    <col min="5" max="5" width="14" customWidth="1"/>
    <col min="6" max="6" width="18" customWidth="1"/>
  </cols>
  <sheetData>
    <row r="1" spans="1:9" ht="28.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9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9" x14ac:dyDescent="0.35">
      <c r="A4" s="2" t="s">
        <v>7</v>
      </c>
      <c r="B4" s="2">
        <v>82</v>
      </c>
      <c r="C4" s="2">
        <v>92</v>
      </c>
      <c r="D4" s="2" t="str">
        <f>IF(B4&gt;=85, "A", IF(B4&gt;=70, "B", IF(B4&gt;=50, "C", "D")))</f>
        <v>B</v>
      </c>
      <c r="E4" s="2" t="str">
        <f>IF(AND(B4&gt;=40, C4&gt;=75), "Pass", "Fail")</f>
        <v>Pass</v>
      </c>
      <c r="F4" s="5" t="str">
        <f>IF(OR(B4&lt;40, C4&lt;70), "Attention", "")</f>
        <v/>
      </c>
    </row>
    <row r="5" spans="1:9" x14ac:dyDescent="0.35">
      <c r="A5" s="2" t="s">
        <v>8</v>
      </c>
      <c r="B5" s="2">
        <v>58</v>
      </c>
      <c r="C5" s="2">
        <v>76</v>
      </c>
      <c r="D5" s="2" t="str">
        <f t="shared" ref="D5:D8" si="0">IF(B5&gt;=85, "A", IF(B5&gt;=70, "B", IF(B5&gt;=50, "C", "D")))</f>
        <v>C</v>
      </c>
      <c r="E5" s="2" t="str">
        <f t="shared" ref="E5:E8" si="1">IF(AND(B5&gt;=40, C5&gt;=75), "Pass", "Fail")</f>
        <v>Pass</v>
      </c>
      <c r="F5" s="5" t="str">
        <f t="shared" ref="F5:F8" si="2">IF(OR(B5&lt;40, C5&lt;70), "Attention", "")</f>
        <v/>
      </c>
    </row>
    <row r="6" spans="1:9" x14ac:dyDescent="0.35">
      <c r="A6" s="2" t="s">
        <v>9</v>
      </c>
      <c r="B6" s="2">
        <v>34</v>
      </c>
      <c r="C6" s="2">
        <v>68</v>
      </c>
      <c r="D6" s="2" t="str">
        <f t="shared" si="0"/>
        <v>D</v>
      </c>
      <c r="E6" s="2" t="str">
        <f t="shared" si="1"/>
        <v>Fail</v>
      </c>
      <c r="F6" s="5" t="str">
        <f t="shared" si="2"/>
        <v>Attention</v>
      </c>
    </row>
    <row r="7" spans="1:9" x14ac:dyDescent="0.35">
      <c r="A7" s="2" t="s">
        <v>10</v>
      </c>
      <c r="B7" s="2">
        <v>91</v>
      </c>
      <c r="C7" s="2">
        <v>95</v>
      </c>
      <c r="D7" s="2" t="str">
        <f t="shared" si="0"/>
        <v>A</v>
      </c>
      <c r="E7" s="2" t="str">
        <f t="shared" si="1"/>
        <v>Pass</v>
      </c>
      <c r="F7" s="5" t="str">
        <f t="shared" si="2"/>
        <v/>
      </c>
    </row>
    <row r="8" spans="1:9" x14ac:dyDescent="0.35">
      <c r="A8" s="2" t="s">
        <v>11</v>
      </c>
      <c r="B8" s="2">
        <v>67</v>
      </c>
      <c r="C8" s="2">
        <v>83</v>
      </c>
      <c r="D8" s="2" t="str">
        <f t="shared" si="0"/>
        <v>C</v>
      </c>
      <c r="E8" s="2" t="str">
        <f t="shared" si="1"/>
        <v>Pass</v>
      </c>
      <c r="F8" s="5" t="str">
        <f t="shared" si="2"/>
        <v/>
      </c>
    </row>
    <row r="10" spans="1:9" x14ac:dyDescent="0.35">
      <c r="A10" s="3" t="s">
        <v>12</v>
      </c>
    </row>
    <row r="11" spans="1:9" x14ac:dyDescent="0.35">
      <c r="A11" t="s">
        <v>13</v>
      </c>
    </row>
    <row r="12" spans="1:9" x14ac:dyDescent="0.35">
      <c r="A12" t="s">
        <v>14</v>
      </c>
    </row>
    <row r="13" spans="1:9" x14ac:dyDescent="0.35">
      <c r="A13" t="s">
        <v>15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"/>
  <sheetViews>
    <sheetView zoomScale="77" zoomScaleNormal="59" workbookViewId="0">
      <selection activeCell="D17" sqref="D17"/>
    </sheetView>
  </sheetViews>
  <sheetFormatPr defaultRowHeight="14.5" x14ac:dyDescent="0.35"/>
  <cols>
    <col min="1" max="1" width="14" customWidth="1"/>
    <col min="2" max="2" width="18" customWidth="1"/>
    <col min="3" max="3" width="14" customWidth="1"/>
    <col min="4" max="4" width="16" customWidth="1"/>
  </cols>
  <sheetData>
    <row r="1" spans="1:14" ht="25.5" customHeight="1" x14ac:dyDescent="0.35">
      <c r="A1" s="6" t="s">
        <v>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3" spans="1:14" x14ac:dyDescent="0.35">
      <c r="A3" s="1" t="s">
        <v>17</v>
      </c>
      <c r="B3" s="1" t="s">
        <v>18</v>
      </c>
      <c r="C3" s="1" t="s">
        <v>19</v>
      </c>
      <c r="D3" s="1" t="s">
        <v>20</v>
      </c>
    </row>
    <row r="4" spans="1:14" x14ac:dyDescent="0.35">
      <c r="A4" s="2">
        <v>101</v>
      </c>
      <c r="B4" s="2" t="s">
        <v>21</v>
      </c>
      <c r="C4" s="2" t="s">
        <v>22</v>
      </c>
      <c r="D4" s="2">
        <v>12000</v>
      </c>
    </row>
    <row r="5" spans="1:14" x14ac:dyDescent="0.35">
      <c r="A5" s="2">
        <v>102</v>
      </c>
      <c r="B5" s="2" t="s">
        <v>21</v>
      </c>
      <c r="C5" s="2" t="s">
        <v>23</v>
      </c>
      <c r="D5" s="2">
        <v>8500</v>
      </c>
    </row>
    <row r="6" spans="1:14" x14ac:dyDescent="0.35">
      <c r="A6" s="2">
        <v>103</v>
      </c>
      <c r="B6" s="2" t="s">
        <v>24</v>
      </c>
      <c r="C6" s="2" t="s">
        <v>22</v>
      </c>
      <c r="D6" s="2">
        <v>5500</v>
      </c>
    </row>
    <row r="7" spans="1:14" x14ac:dyDescent="0.35">
      <c r="A7" s="2">
        <v>104</v>
      </c>
      <c r="B7" s="2" t="s">
        <v>21</v>
      </c>
      <c r="C7" s="2" t="s">
        <v>22</v>
      </c>
      <c r="D7" s="2">
        <v>14900</v>
      </c>
    </row>
    <row r="8" spans="1:14" x14ac:dyDescent="0.35">
      <c r="A8" s="2">
        <v>105</v>
      </c>
      <c r="B8" s="2" t="s">
        <v>25</v>
      </c>
      <c r="C8" s="2" t="s">
        <v>26</v>
      </c>
      <c r="D8" s="2">
        <v>1200</v>
      </c>
    </row>
    <row r="9" spans="1:14" x14ac:dyDescent="0.35">
      <c r="A9" s="2">
        <v>106</v>
      </c>
      <c r="B9" s="2" t="s">
        <v>24</v>
      </c>
      <c r="C9" s="2" t="s">
        <v>23</v>
      </c>
      <c r="D9" s="2">
        <v>7200</v>
      </c>
    </row>
    <row r="12" spans="1:14" x14ac:dyDescent="0.35">
      <c r="A12" s="3" t="s">
        <v>12</v>
      </c>
    </row>
    <row r="13" spans="1:14" x14ac:dyDescent="0.35">
      <c r="A13" t="s">
        <v>27</v>
      </c>
      <c r="D13">
        <f>COUNTIFS(B4:B9, "Electronics", C4:C9, "North")</f>
        <v>2</v>
      </c>
    </row>
    <row r="14" spans="1:14" x14ac:dyDescent="0.35">
      <c r="A14" t="s">
        <v>28</v>
      </c>
      <c r="D14">
        <f>SUMIFS(D4:D9, B4:B9, "Electronics", C4:C9, "South")</f>
        <v>8500</v>
      </c>
    </row>
    <row r="15" spans="1:14" x14ac:dyDescent="0.35">
      <c r="A15" t="s">
        <v>29</v>
      </c>
      <c r="D15">
        <f>AVERAGEIF(B4:B9, "Electronics", D4:D9)</f>
        <v>11800</v>
      </c>
    </row>
    <row r="16" spans="1:14" x14ac:dyDescent="0.35">
      <c r="A16" t="s">
        <v>30</v>
      </c>
      <c r="D16">
        <f>COUNTIF(D4:D9, "&gt;5000")</f>
        <v>5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"/>
  <sheetViews>
    <sheetView zoomScale="75" zoomScaleNormal="75" workbookViewId="0">
      <selection activeCell="E10" sqref="E10"/>
    </sheetView>
  </sheetViews>
  <sheetFormatPr defaultRowHeight="14.5" x14ac:dyDescent="0.35"/>
  <cols>
    <col min="1" max="1" width="14" customWidth="1"/>
    <col min="2" max="2" width="16" customWidth="1"/>
    <col min="3" max="4" width="14" customWidth="1"/>
    <col min="5" max="6" width="20" customWidth="1"/>
  </cols>
  <sheetData>
    <row r="1" spans="1:12" ht="18.5" x14ac:dyDescent="0.35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x14ac:dyDescent="0.35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</row>
    <row r="4" spans="1:12" x14ac:dyDescent="0.35">
      <c r="A4" s="2">
        <v>201</v>
      </c>
      <c r="B4" s="2" t="s">
        <v>38</v>
      </c>
      <c r="C4" s="2">
        <v>10</v>
      </c>
      <c r="D4" s="2">
        <v>55000</v>
      </c>
      <c r="E4" s="2" t="str">
        <f>VLOOKUP(C4, A10:C13, 2, FALSE)</f>
        <v>Analytics</v>
      </c>
      <c r="F4" s="2" t="str">
        <f>INDEX(C11:C13, MATCH(C4, A11:A13, 0))</f>
        <v>Rohit</v>
      </c>
    </row>
    <row r="5" spans="1:12" x14ac:dyDescent="0.35">
      <c r="A5" s="2">
        <v>202</v>
      </c>
      <c r="B5" s="2" t="s">
        <v>39</v>
      </c>
      <c r="C5" s="2">
        <v>20</v>
      </c>
      <c r="D5" s="2">
        <v>62000</v>
      </c>
      <c r="E5" s="2" t="str">
        <f t="shared" ref="E5:E6" si="0">VLOOKUP(C5, A11:C14, 2, FALSE)</f>
        <v>Marketing</v>
      </c>
      <c r="F5" s="2" t="str">
        <f t="shared" ref="F5:F6" si="1">INDEX(C12:C14, MATCH(C5, A12:A14, 0))</f>
        <v>Anita</v>
      </c>
    </row>
    <row r="6" spans="1:12" x14ac:dyDescent="0.35">
      <c r="A6" s="2">
        <v>203</v>
      </c>
      <c r="B6" s="2" t="s">
        <v>40</v>
      </c>
      <c r="C6" s="2">
        <v>30</v>
      </c>
      <c r="D6" s="2">
        <v>48000</v>
      </c>
      <c r="E6" s="2" t="str">
        <f t="shared" si="0"/>
        <v>HR</v>
      </c>
      <c r="F6" s="2" t="str">
        <f t="shared" si="1"/>
        <v>Kunal</v>
      </c>
    </row>
    <row r="9" spans="1:12" x14ac:dyDescent="0.35">
      <c r="A9" s="3" t="s">
        <v>41</v>
      </c>
    </row>
    <row r="10" spans="1:12" x14ac:dyDescent="0.35">
      <c r="A10" s="1" t="s">
        <v>34</v>
      </c>
      <c r="B10" s="1" t="s">
        <v>36</v>
      </c>
      <c r="C10" s="1" t="s">
        <v>37</v>
      </c>
    </row>
    <row r="11" spans="1:12" x14ac:dyDescent="0.35">
      <c r="A11" s="2">
        <v>10</v>
      </c>
      <c r="B11" s="2" t="s">
        <v>42</v>
      </c>
      <c r="C11" s="2" t="s">
        <v>43</v>
      </c>
    </row>
    <row r="12" spans="1:12" x14ac:dyDescent="0.35">
      <c r="A12" s="2">
        <v>20</v>
      </c>
      <c r="B12" s="2" t="s">
        <v>44</v>
      </c>
      <c r="C12" s="2" t="s">
        <v>45</v>
      </c>
    </row>
    <row r="13" spans="1:12" x14ac:dyDescent="0.35">
      <c r="A13" s="2">
        <v>30</v>
      </c>
      <c r="B13" s="2" t="s">
        <v>46</v>
      </c>
      <c r="C13" s="2" t="s">
        <v>47</v>
      </c>
    </row>
    <row r="15" spans="1:12" x14ac:dyDescent="0.35">
      <c r="A15" s="3" t="s">
        <v>12</v>
      </c>
    </row>
    <row r="16" spans="1:12" x14ac:dyDescent="0.35">
      <c r="A16" t="s">
        <v>48</v>
      </c>
    </row>
    <row r="17" spans="1:1" x14ac:dyDescent="0.35">
      <c r="A17" t="s">
        <v>49</v>
      </c>
    </row>
    <row r="18" spans="1:1" x14ac:dyDescent="0.35">
      <c r="A18" t="s">
        <v>50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tabSelected="1" zoomScale="69" workbookViewId="0">
      <selection activeCell="E17" sqref="E17"/>
    </sheetView>
  </sheetViews>
  <sheetFormatPr defaultRowHeight="14.5" x14ac:dyDescent="0.35"/>
  <cols>
    <col min="1" max="1" width="12" customWidth="1"/>
    <col min="2" max="2" width="18" customWidth="1"/>
    <col min="3" max="3" width="16" customWidth="1"/>
    <col min="4" max="4" width="6" customWidth="1"/>
    <col min="5" max="5" width="26" customWidth="1"/>
    <col min="7" max="7" width="12.36328125" bestFit="1" customWidth="1"/>
    <col min="8" max="8" width="14.36328125" bestFit="1" customWidth="1"/>
    <col min="10" max="10" width="12.36328125" bestFit="1" customWidth="1"/>
    <col min="11" max="11" width="17.54296875" customWidth="1"/>
  </cols>
  <sheetData>
    <row r="1" spans="1:11" ht="18.5" x14ac:dyDescent="0.35">
      <c r="A1" s="6" t="s">
        <v>51</v>
      </c>
      <c r="B1" s="6"/>
      <c r="C1" s="6"/>
      <c r="D1" s="6"/>
      <c r="E1" s="6"/>
      <c r="F1" s="6"/>
      <c r="G1" s="6"/>
      <c r="H1" s="6"/>
      <c r="I1" s="6"/>
      <c r="J1" s="6"/>
    </row>
    <row r="3" spans="1:11" x14ac:dyDescent="0.35">
      <c r="A3" s="1" t="s">
        <v>52</v>
      </c>
      <c r="B3" s="1" t="s">
        <v>18</v>
      </c>
      <c r="C3" s="1" t="s">
        <v>20</v>
      </c>
      <c r="E3" s="3" t="s">
        <v>53</v>
      </c>
    </row>
    <row r="4" spans="1:11" x14ac:dyDescent="0.35">
      <c r="A4" s="2" t="s">
        <v>54</v>
      </c>
      <c r="B4" s="2" t="s">
        <v>21</v>
      </c>
      <c r="C4" s="2">
        <v>12000</v>
      </c>
      <c r="E4" t="s">
        <v>55</v>
      </c>
      <c r="F4">
        <f>SUM(C4:C9)</f>
        <v>61800</v>
      </c>
    </row>
    <row r="5" spans="1:11" x14ac:dyDescent="0.35">
      <c r="A5" s="2" t="s">
        <v>54</v>
      </c>
      <c r="B5" s="2" t="s">
        <v>24</v>
      </c>
      <c r="C5" s="2">
        <v>8000</v>
      </c>
      <c r="E5" t="s">
        <v>56</v>
      </c>
      <c r="F5">
        <f>MAX(C4:C9)</f>
        <v>22000</v>
      </c>
    </row>
    <row r="6" spans="1:11" x14ac:dyDescent="0.35">
      <c r="A6" s="2" t="s">
        <v>57</v>
      </c>
      <c r="B6" s="2" t="s">
        <v>21</v>
      </c>
      <c r="C6" s="2">
        <v>15000</v>
      </c>
      <c r="E6" t="s">
        <v>58</v>
      </c>
      <c r="F6">
        <f>MIN(C4:C9)</f>
        <v>1800</v>
      </c>
    </row>
    <row r="7" spans="1:11" x14ac:dyDescent="0.35">
      <c r="A7" s="2" t="s">
        <v>57</v>
      </c>
      <c r="B7" s="2" t="s">
        <v>25</v>
      </c>
      <c r="C7" s="2">
        <v>3000</v>
      </c>
    </row>
    <row r="8" spans="1:11" x14ac:dyDescent="0.35">
      <c r="A8" s="2" t="s">
        <v>59</v>
      </c>
      <c r="B8" s="2" t="s">
        <v>21</v>
      </c>
      <c r="C8" s="2">
        <v>22000</v>
      </c>
      <c r="E8" s="3" t="s">
        <v>12</v>
      </c>
      <c r="G8" s="7" t="s">
        <v>65</v>
      </c>
      <c r="H8" t="s">
        <v>67</v>
      </c>
      <c r="J8" s="7" t="s">
        <v>65</v>
      </c>
      <c r="K8" t="s">
        <v>68</v>
      </c>
    </row>
    <row r="9" spans="1:11" x14ac:dyDescent="0.35">
      <c r="A9" s="2" t="s">
        <v>59</v>
      </c>
      <c r="B9" s="2" t="s">
        <v>60</v>
      </c>
      <c r="C9" s="2">
        <v>1800</v>
      </c>
      <c r="E9" t="s">
        <v>61</v>
      </c>
      <c r="G9" s="8" t="s">
        <v>54</v>
      </c>
      <c r="H9" s="9">
        <v>20000</v>
      </c>
      <c r="J9" s="8" t="s">
        <v>60</v>
      </c>
      <c r="K9" s="9">
        <v>1800</v>
      </c>
    </row>
    <row r="10" spans="1:11" x14ac:dyDescent="0.35">
      <c r="E10" t="s">
        <v>62</v>
      </c>
      <c r="G10" s="8" t="s">
        <v>57</v>
      </c>
      <c r="H10" s="9">
        <v>18000</v>
      </c>
      <c r="J10" s="8" t="s">
        <v>21</v>
      </c>
      <c r="K10" s="9">
        <v>16333.333333333334</v>
      </c>
    </row>
    <row r="11" spans="1:11" x14ac:dyDescent="0.35">
      <c r="E11" t="s">
        <v>63</v>
      </c>
      <c r="G11" s="8" t="s">
        <v>59</v>
      </c>
      <c r="H11" s="9">
        <v>23800</v>
      </c>
      <c r="J11" s="8" t="s">
        <v>24</v>
      </c>
      <c r="K11" s="9">
        <v>8000</v>
      </c>
    </row>
    <row r="12" spans="1:11" x14ac:dyDescent="0.35">
      <c r="E12" t="s">
        <v>64</v>
      </c>
      <c r="G12" s="8" t="s">
        <v>66</v>
      </c>
      <c r="H12" s="9">
        <v>61800</v>
      </c>
      <c r="J12" s="8" t="s">
        <v>25</v>
      </c>
      <c r="K12" s="9">
        <v>3000</v>
      </c>
    </row>
    <row r="13" spans="1:11" x14ac:dyDescent="0.35">
      <c r="J13" s="8" t="s">
        <v>66</v>
      </c>
      <c r="K13" s="9">
        <v>10300</v>
      </c>
    </row>
  </sheetData>
  <mergeCells count="1">
    <mergeCell ref="A1:J1"/>
  </mergeCells>
  <pageMargins left="0.75" right="0.75" top="1" bottom="1" header="0.5" footer="0.5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 7 - Logical Practice</vt:lpstr>
      <vt:lpstr>Conditional Aggregates</vt:lpstr>
      <vt:lpstr>Lookup Challenge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</dc:creator>
  <cp:lastModifiedBy>Komal Karanakota</cp:lastModifiedBy>
  <dcterms:created xsi:type="dcterms:W3CDTF">2026-01-13T13:37:23Z</dcterms:created>
  <dcterms:modified xsi:type="dcterms:W3CDTF">2026-01-13T14:38:49Z</dcterms:modified>
</cp:coreProperties>
</file>