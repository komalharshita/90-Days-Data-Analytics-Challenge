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omal\Documents\MY CODES\90-Days-Data-Analytics-Challenge\day 5\"/>
    </mc:Choice>
  </mc:AlternateContent>
  <xr:revisionPtr revIDLastSave="0" documentId="8_{E837C0C5-7A0F-4316-ADE0-E860E7D8F6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5 - Pivot Practice" sheetId="1" r:id="rId1"/>
    <sheet name="Day 5 - Charts" sheetId="2" r:id="rId2"/>
    <sheet name="Day 5 - Data Cleaning" sheetId="3" r:id="rId3"/>
    <sheet name="Day 5 - ConditionalFmt" sheetId="4" r:id="rId4"/>
  </sheets>
  <calcPr calcId="191029"/>
  <pivotCaches>
    <pivotCache cacheId="4" r:id="rId5"/>
  </pivotCaches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5" i="3"/>
  <c r="I5" i="3"/>
  <c r="L6" i="3"/>
  <c r="L7" i="3"/>
  <c r="L8" i="3"/>
  <c r="L9" i="3"/>
  <c r="L10" i="3"/>
  <c r="L11" i="3"/>
  <c r="L5" i="3"/>
  <c r="K6" i="3"/>
  <c r="K7" i="3"/>
  <c r="K8" i="3"/>
  <c r="K9" i="3"/>
  <c r="K10" i="3"/>
  <c r="K11" i="3"/>
  <c r="K5" i="3"/>
  <c r="J6" i="3"/>
  <c r="J7" i="3"/>
  <c r="J8" i="3"/>
  <c r="J9" i="3"/>
  <c r="J10" i="3"/>
  <c r="J11" i="3"/>
  <c r="J5" i="3"/>
  <c r="I6" i="3"/>
  <c r="I7" i="3"/>
  <c r="I8" i="3"/>
  <c r="I9" i="3"/>
  <c r="I10" i="3"/>
  <c r="I11" i="3"/>
  <c r="D5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5" i="1"/>
</calcChain>
</file>

<file path=xl/sharedStrings.xml><?xml version="1.0" encoding="utf-8"?>
<sst xmlns="http://schemas.openxmlformats.org/spreadsheetml/2006/main" count="188" uniqueCount="113">
  <si>
    <t>Day 5 Practice — Pivot Tables Deep Dive</t>
  </si>
  <si>
    <t>Dataset: Transactions (Use this to build Pivot Tables)</t>
  </si>
  <si>
    <t>Date</t>
  </si>
  <si>
    <t>Order ID</t>
  </si>
  <si>
    <t>Category</t>
  </si>
  <si>
    <t>Region</t>
  </si>
  <si>
    <t>Units</t>
  </si>
  <si>
    <t>Unit Price</t>
  </si>
  <si>
    <t>Revenue</t>
  </si>
  <si>
    <t>Customer</t>
  </si>
  <si>
    <t>2026-01-05</t>
  </si>
  <si>
    <t>Electronics</t>
  </si>
  <si>
    <t>North</t>
  </si>
  <si>
    <t>CUST001</t>
  </si>
  <si>
    <t>2026-01-15</t>
  </si>
  <si>
    <t>Furniture</t>
  </si>
  <si>
    <t>South</t>
  </si>
  <si>
    <t>CUST002</t>
  </si>
  <si>
    <t>2026-02-02</t>
  </si>
  <si>
    <t>Stationery</t>
  </si>
  <si>
    <t>East</t>
  </si>
  <si>
    <t>CUST003</t>
  </si>
  <si>
    <t>2026-02-18</t>
  </si>
  <si>
    <t>CUST004</t>
  </si>
  <si>
    <t>2026-03-05</t>
  </si>
  <si>
    <t>West</t>
  </si>
  <si>
    <t>CUST005</t>
  </si>
  <si>
    <t>2026-03-20</t>
  </si>
  <si>
    <t>Accessories</t>
  </si>
  <si>
    <t>CUST006</t>
  </si>
  <si>
    <t>2026-04-02</t>
  </si>
  <si>
    <t>Home</t>
  </si>
  <si>
    <t>CUST007</t>
  </si>
  <si>
    <t>2026-04-15</t>
  </si>
  <si>
    <t>CUST008</t>
  </si>
  <si>
    <t>2026-05-01</t>
  </si>
  <si>
    <t>CUST009</t>
  </si>
  <si>
    <t>2026-05-12</t>
  </si>
  <si>
    <t>CUST010</t>
  </si>
  <si>
    <t>2026-06-04</t>
  </si>
  <si>
    <t>CUST011</t>
  </si>
  <si>
    <t>2026-06-18</t>
  </si>
  <si>
    <t>CUST012</t>
  </si>
  <si>
    <t>2026-07-07</t>
  </si>
  <si>
    <t>CUST013</t>
  </si>
  <si>
    <t>2026-07-21</t>
  </si>
  <si>
    <t>CUST014</t>
  </si>
  <si>
    <t>2026-08-02</t>
  </si>
  <si>
    <t>CUST015</t>
  </si>
  <si>
    <t>Practice Tasks:</t>
  </si>
  <si>
    <t>1. Create a 'Month' helper column from Date (use TEXT or MONTH).</t>
  </si>
  <si>
    <t>2. Build a Pivot: Rows = Month, Columns = Category, Values = Sum of Revenue (or Units), Count of Order ID.</t>
  </si>
  <si>
    <t>3. Add a slicer for Region (optional).</t>
  </si>
  <si>
    <t>4. Create a Pivot Chart showing monthly revenue trends.</t>
  </si>
  <si>
    <t>Resource: https://support.microsoft.com/en-us/office/pivottable-introduction-5d2b3f2a-58b4-4f7b-9f8b-0b2b0b0f3f6a</t>
  </si>
  <si>
    <t>Day 5 Practice — Charts &amp; Visualization</t>
  </si>
  <si>
    <t>Dataset: Sales Summary (use for charts)</t>
  </si>
  <si>
    <t>Month</t>
  </si>
  <si>
    <t>2026-01</t>
  </si>
  <si>
    <t>2026-02</t>
  </si>
  <si>
    <t>2026-03</t>
  </si>
  <si>
    <t>Day 5 Practice — Data Cleaning (Messy to Clean)</t>
  </si>
  <si>
    <t>Raw Dataset (contains issues: extra spaces, inconsistent case, numbers-as-text, duplicates, missing values)</t>
  </si>
  <si>
    <t>Email</t>
  </si>
  <si>
    <t>Notes</t>
  </si>
  <si>
    <t xml:space="preserve">ALICE@example.com </t>
  </si>
  <si>
    <t>5</t>
  </si>
  <si>
    <t>Bob</t>
  </si>
  <si>
    <t>bob@EXAMPLE.com</t>
  </si>
  <si>
    <t>10</t>
  </si>
  <si>
    <t>carol@example.com</t>
  </si>
  <si>
    <t>Alice</t>
  </si>
  <si>
    <t>alice@example.com</t>
  </si>
  <si>
    <t>dan@example.com</t>
  </si>
  <si>
    <t>3</t>
  </si>
  <si>
    <t>eve@example.com</t>
  </si>
  <si>
    <t>2</t>
  </si>
  <si>
    <t>Frank</t>
  </si>
  <si>
    <t>frank@example.com</t>
  </si>
  <si>
    <t>4</t>
  </si>
  <si>
    <t>Day 5 Practice — Conditional Formatting &amp; Advanced Filters</t>
  </si>
  <si>
    <t>Dataset for Conditional Formatting</t>
  </si>
  <si>
    <t>Product</t>
  </si>
  <si>
    <t>Status</t>
  </si>
  <si>
    <t>Notebook</t>
  </si>
  <si>
    <t>Completed</t>
  </si>
  <si>
    <t>Mouse</t>
  </si>
  <si>
    <t>Pending</t>
  </si>
  <si>
    <t>Desk</t>
  </si>
  <si>
    <t>Pen</t>
  </si>
  <si>
    <t>Monitor</t>
  </si>
  <si>
    <t>Review</t>
  </si>
  <si>
    <t>Row Labels</t>
  </si>
  <si>
    <t>2026-04</t>
  </si>
  <si>
    <t>2026-05</t>
  </si>
  <si>
    <t>2026-06</t>
  </si>
  <si>
    <t>2026-07</t>
  </si>
  <si>
    <t>2026-08</t>
  </si>
  <si>
    <t>Grand Total</t>
  </si>
  <si>
    <t>Column Labels</t>
  </si>
  <si>
    <t>Sum of Revenue</t>
  </si>
  <si>
    <t>Total Sum of Revenue</t>
  </si>
  <si>
    <t>Total Count of Order ID</t>
  </si>
  <si>
    <t>Count of Order ID</t>
  </si>
  <si>
    <t>Avg Revenue</t>
  </si>
  <si>
    <t>Clean name</t>
  </si>
  <si>
    <t>clean region</t>
  </si>
  <si>
    <t>clean price</t>
  </si>
  <si>
    <t>clean units</t>
  </si>
  <si>
    <t>Carol</t>
  </si>
  <si>
    <t>Dan</t>
  </si>
  <si>
    <t>Eve</t>
  </si>
  <si>
    <t>Color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</si>
</sst>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EF8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1" fillId="3" borderId="0" xfId="0" applyFont="1" applyFill="1" applyAlignment="1">
      <alignment horizontal="center"/>
    </xf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2" fillId="0" borderId="3" xfId="0" applyFont="1" applyBorder="1"/>
    <xf numFmtId="0" fontId="0" fillId="0" borderId="3" xfId="0" applyBorder="1"/>
    <xf numFmtId="0" fontId="0" fillId="0" borderId="0" xfId="0" applyAlignment="1">
      <alignment wrapText="1"/>
    </xf>
    <xf numFmtId="0" fontId="3" fillId="0" borderId="4" xfId="0" applyFont="1" applyFill="1" applyBorder="1" applyAlignment="1">
      <alignment wrapText="1"/>
    </xf>
  </cellXfs>
  <cellStyles count="1">
    <cellStyle name="Normal" xfId="0" builtinId="0"/>
  </cellStyles>
  <dxfs count="10">
    <dxf>
      <font>
        <b val="0"/>
        <i/>
      </font>
      <fill>
        <patternFill>
          <bgColor theme="7" tint="0.59996337778862885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5 - Charts'!$C$4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 5 - Charts'!$A$5:$A$10</c:f>
              <c:strCache>
                <c:ptCount val="6"/>
                <c:pt idx="0">
                  <c:v>2026-01</c:v>
                </c:pt>
                <c:pt idx="1">
                  <c:v>2026-01</c:v>
                </c:pt>
                <c:pt idx="2">
                  <c:v>2026-02</c:v>
                </c:pt>
                <c:pt idx="3">
                  <c:v>2026-02</c:v>
                </c:pt>
                <c:pt idx="4">
                  <c:v>2026-03</c:v>
                </c:pt>
                <c:pt idx="5">
                  <c:v>2026-03</c:v>
                </c:pt>
              </c:strCache>
            </c:strRef>
          </c:cat>
          <c:val>
            <c:numRef>
              <c:f>'Day 5 - Charts'!$C$5:$C$10</c:f>
              <c:numCache>
                <c:formatCode>General</c:formatCode>
                <c:ptCount val="6"/>
                <c:pt idx="0">
                  <c:v>12000</c:v>
                </c:pt>
                <c:pt idx="1">
                  <c:v>8500</c:v>
                </c:pt>
                <c:pt idx="2">
                  <c:v>15000</c:v>
                </c:pt>
                <c:pt idx="3">
                  <c:v>3000</c:v>
                </c:pt>
                <c:pt idx="4">
                  <c:v>22000</c:v>
                </c:pt>
                <c:pt idx="5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4BEF-957F-7F90916A2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8261999"/>
        <c:axId val="1258259599"/>
      </c:barChart>
      <c:catAx>
        <c:axId val="125826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59599"/>
        <c:crosses val="autoZero"/>
        <c:auto val="1"/>
        <c:lblAlgn val="ctr"/>
        <c:lblOffset val="100"/>
        <c:noMultiLvlLbl val="0"/>
      </c:catAx>
      <c:valAx>
        <c:axId val="12582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6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5 - Charts'!$C$4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'Day 5 - Charts'!$A$5:$B$10</c:f>
              <c:multiLvlStrCache>
                <c:ptCount val="6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Electronics</c:v>
                  </c:pt>
                  <c:pt idx="3">
                    <c:v>Stationery</c:v>
                  </c:pt>
                  <c:pt idx="4">
                    <c:v>Electronics</c:v>
                  </c:pt>
                  <c:pt idx="5">
                    <c:v>Accessories</c:v>
                  </c:pt>
                </c:lvl>
                <c:lvl>
                  <c:pt idx="0">
                    <c:v>2026-01</c:v>
                  </c:pt>
                  <c:pt idx="1">
                    <c:v>2026-01</c:v>
                  </c:pt>
                  <c:pt idx="2">
                    <c:v>2026-02</c:v>
                  </c:pt>
                  <c:pt idx="3">
                    <c:v>2026-02</c:v>
                  </c:pt>
                  <c:pt idx="4">
                    <c:v>2026-03</c:v>
                  </c:pt>
                  <c:pt idx="5">
                    <c:v>2026-03</c:v>
                  </c:pt>
                </c:lvl>
              </c:multiLvlStrCache>
            </c:multiLvlStrRef>
          </c:cat>
          <c:val>
            <c:numRef>
              <c:f>'Day 5 - Charts'!$C$5:$C$10</c:f>
              <c:numCache>
                <c:formatCode>General</c:formatCode>
                <c:ptCount val="6"/>
                <c:pt idx="0">
                  <c:v>12000</c:v>
                </c:pt>
                <c:pt idx="1">
                  <c:v>8500</c:v>
                </c:pt>
                <c:pt idx="2">
                  <c:v>15000</c:v>
                </c:pt>
                <c:pt idx="3">
                  <c:v>3000</c:v>
                </c:pt>
                <c:pt idx="4">
                  <c:v>22000</c:v>
                </c:pt>
                <c:pt idx="5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6-4EB5-A7C3-2341BC88E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8285999"/>
        <c:axId val="1258300879"/>
      </c:barChart>
      <c:lineChart>
        <c:grouping val="standard"/>
        <c:varyColors val="0"/>
        <c:ser>
          <c:idx val="1"/>
          <c:order val="1"/>
          <c:tx>
            <c:strRef>
              <c:f>'Day 5 - Charts'!$D$4</c:f>
              <c:strCache>
                <c:ptCount val="1"/>
                <c:pt idx="0">
                  <c:v>Avg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'Day 5 - Charts'!$A$5:$B$10</c:f>
              <c:multiLvlStrCache>
                <c:ptCount val="6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Electronics</c:v>
                  </c:pt>
                  <c:pt idx="3">
                    <c:v>Stationery</c:v>
                  </c:pt>
                  <c:pt idx="4">
                    <c:v>Electronics</c:v>
                  </c:pt>
                  <c:pt idx="5">
                    <c:v>Accessories</c:v>
                  </c:pt>
                </c:lvl>
                <c:lvl>
                  <c:pt idx="0">
                    <c:v>2026-01</c:v>
                  </c:pt>
                  <c:pt idx="1">
                    <c:v>2026-01</c:v>
                  </c:pt>
                  <c:pt idx="2">
                    <c:v>2026-02</c:v>
                  </c:pt>
                  <c:pt idx="3">
                    <c:v>2026-02</c:v>
                  </c:pt>
                  <c:pt idx="4">
                    <c:v>2026-03</c:v>
                  </c:pt>
                  <c:pt idx="5">
                    <c:v>2026-03</c:v>
                  </c:pt>
                </c:lvl>
              </c:multiLvlStrCache>
            </c:multiLvlStrRef>
          </c:cat>
          <c:val>
            <c:numRef>
              <c:f>'Day 5 - Charts'!$D$5:$D$10</c:f>
              <c:numCache>
                <c:formatCode>General</c:formatCode>
                <c:ptCount val="6"/>
                <c:pt idx="0">
                  <c:v>10415</c:v>
                </c:pt>
                <c:pt idx="1">
                  <c:v>10415</c:v>
                </c:pt>
                <c:pt idx="2">
                  <c:v>10415</c:v>
                </c:pt>
                <c:pt idx="3">
                  <c:v>10415</c:v>
                </c:pt>
                <c:pt idx="4">
                  <c:v>10415</c:v>
                </c:pt>
                <c:pt idx="5">
                  <c:v>10415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C6-4EB5-A7C3-2341BC88E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052767"/>
        <c:axId val="1263052287"/>
      </c:lineChart>
      <c:catAx>
        <c:axId val="12582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00879"/>
        <c:crosses val="autoZero"/>
        <c:auto val="1"/>
        <c:lblAlgn val="ctr"/>
        <c:lblOffset val="100"/>
        <c:noMultiLvlLbl val="0"/>
      </c:catAx>
      <c:valAx>
        <c:axId val="12583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85999"/>
        <c:crosses val="autoZero"/>
        <c:crossBetween val="between"/>
      </c:valAx>
      <c:valAx>
        <c:axId val="12630522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52767"/>
        <c:crosses val="max"/>
        <c:crossBetween val="between"/>
      </c:valAx>
      <c:catAx>
        <c:axId val="12630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30522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11</xdr:row>
      <xdr:rowOff>165100</xdr:rowOff>
    </xdr:from>
    <xdr:to>
      <xdr:col>5</xdr:col>
      <xdr:colOff>742950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819D6-2B78-FFBD-5F3C-9DE2E86EA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923849</xdr:colOff>
      <xdr:row>11</xdr:row>
      <xdr:rowOff>150075</xdr:rowOff>
    </xdr:from>
    <xdr:to>
      <xdr:col>10</xdr:col>
      <xdr:colOff>253227</xdr:colOff>
      <xdr:row>26</xdr:row>
      <xdr:rowOff>105470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2A036-7227-9C29-CC35-CD827DED8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Karanakota" refreshedDate="46033.687931134256" createdVersion="8" refreshedVersion="8" minRefreshableVersion="3" recordCount="15" xr:uid="{59B97B29-0DDB-4C0F-BA08-1E32DC9D15CF}">
  <cacheSource type="worksheet">
    <worksheetSource ref="A4:I19" sheet="Day 5 - Pivot Practice"/>
  </cacheSource>
  <cacheFields count="9">
    <cacheField name="Date" numFmtId="0">
      <sharedItems/>
    </cacheField>
    <cacheField name="Order ID" numFmtId="0">
      <sharedItems containsSemiMixedTypes="0" containsString="0" containsNumber="1" containsInteger="1" minValue="1001" maxValue="1015"/>
    </cacheField>
    <cacheField name="Category" numFmtId="0">
      <sharedItems count="5">
        <s v="Electronics"/>
        <s v="Furniture"/>
        <s v="Stationery"/>
        <s v="Accessories"/>
        <s v="Home"/>
      </sharedItems>
    </cacheField>
    <cacheField name="Region" numFmtId="0">
      <sharedItems/>
    </cacheField>
    <cacheField name="Units" numFmtId="0">
      <sharedItems containsSemiMixedTypes="0" containsString="0" containsNumber="1" containsInteger="1" minValue="1" maxValue="15"/>
    </cacheField>
    <cacheField name="Unit Price" numFmtId="0">
      <sharedItems containsSemiMixedTypes="0" containsString="0" containsNumber="1" containsInteger="1" minValue="25" maxValue="22000"/>
    </cacheField>
    <cacheField name="Revenue" numFmtId="0">
      <sharedItems containsSemiMixedTypes="0" containsString="0" containsNumber="1" containsInteger="1" minValue="375" maxValue="132000"/>
    </cacheField>
    <cacheField name="Month" numFmtId="0">
      <sharedItems count="8">
        <s v="2026-01"/>
        <s v="2026-02"/>
        <s v="2026-03"/>
        <s v="2026-04"/>
        <s v="2026-05"/>
        <s v="2026-06"/>
        <s v="2026-07"/>
        <s v="2026-08"/>
      </sharedItems>
    </cacheField>
    <cacheField name="Custom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2026-01-05"/>
    <n v="1001"/>
    <x v="0"/>
    <s v="North"/>
    <n v="5"/>
    <n v="120"/>
    <n v="600"/>
    <x v="0"/>
    <s v="CUST001"/>
  </r>
  <r>
    <s v="2026-01-15"/>
    <n v="1002"/>
    <x v="1"/>
    <s v="South"/>
    <n v="2"/>
    <n v="3500"/>
    <n v="7000"/>
    <x v="0"/>
    <s v="CUST002"/>
  </r>
  <r>
    <s v="2026-02-02"/>
    <n v="1003"/>
    <x v="2"/>
    <s v="East"/>
    <n v="15"/>
    <n v="25"/>
    <n v="375"/>
    <x v="1"/>
    <s v="CUST003"/>
  </r>
  <r>
    <s v="2026-02-18"/>
    <n v="1004"/>
    <x v="0"/>
    <s v="North"/>
    <n v="1"/>
    <n v="799"/>
    <n v="799"/>
    <x v="1"/>
    <s v="CUST004"/>
  </r>
  <r>
    <s v="2026-03-05"/>
    <n v="1005"/>
    <x v="0"/>
    <s v="West"/>
    <n v="3"/>
    <n v="22000"/>
    <n v="66000"/>
    <x v="2"/>
    <s v="CUST005"/>
  </r>
  <r>
    <s v="2026-03-20"/>
    <n v="1006"/>
    <x v="3"/>
    <s v="South"/>
    <n v="10"/>
    <n v="199"/>
    <n v="1990"/>
    <x v="2"/>
    <s v="CUST006"/>
  </r>
  <r>
    <s v="2026-04-02"/>
    <n v="1007"/>
    <x v="4"/>
    <s v="East"/>
    <n v="7"/>
    <n v="450"/>
    <n v="3150"/>
    <x v="3"/>
    <s v="CUST007"/>
  </r>
  <r>
    <s v="2026-04-15"/>
    <n v="1008"/>
    <x v="2"/>
    <s v="North"/>
    <n v="12"/>
    <n v="60"/>
    <n v="720"/>
    <x v="3"/>
    <s v="CUST008"/>
  </r>
  <r>
    <s v="2026-05-01"/>
    <n v="1009"/>
    <x v="0"/>
    <s v="West"/>
    <n v="2"/>
    <n v="1299"/>
    <n v="2598"/>
    <x v="4"/>
    <s v="CUST009"/>
  </r>
  <r>
    <s v="2026-05-12"/>
    <n v="1010"/>
    <x v="1"/>
    <s v="East"/>
    <n v="1"/>
    <n v="7500"/>
    <n v="7500"/>
    <x v="4"/>
    <s v="CUST010"/>
  </r>
  <r>
    <s v="2026-06-04"/>
    <n v="1011"/>
    <x v="0"/>
    <s v="North"/>
    <n v="6"/>
    <n v="22000"/>
    <n v="132000"/>
    <x v="5"/>
    <s v="CUST011"/>
  </r>
  <r>
    <s v="2026-06-18"/>
    <n v="1012"/>
    <x v="2"/>
    <s v="South"/>
    <n v="8"/>
    <n v="120"/>
    <n v="960"/>
    <x v="5"/>
    <s v="CUST012"/>
  </r>
  <r>
    <s v="2026-07-07"/>
    <n v="1013"/>
    <x v="3"/>
    <s v="West"/>
    <n v="4"/>
    <n v="499"/>
    <n v="1996"/>
    <x v="6"/>
    <s v="CUST013"/>
  </r>
  <r>
    <s v="2026-07-21"/>
    <n v="1014"/>
    <x v="0"/>
    <s v="East"/>
    <n v="3"/>
    <n v="2499"/>
    <n v="7497"/>
    <x v="6"/>
    <s v="CUST014"/>
  </r>
  <r>
    <s v="2026-08-02"/>
    <n v="1015"/>
    <x v="4"/>
    <s v="North"/>
    <n v="2"/>
    <n v="3500"/>
    <n v="7000"/>
    <x v="7"/>
    <s v="CUST0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E4758-45C5-4C3E-B2EB-423C902F154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M40" firstHeaderRow="1" firstDataRow="3" firstDataCol="1"/>
  <pivotFields count="9">
    <pivotField showAll="0"/>
    <pivotField dataField="1" showAll="0"/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Revenue" fld="6" baseField="0" baseItem="0"/>
    <dataField name="Count of Order ID" fld="1" subtotal="count" baseField="7" baseItem="0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B64C5-67B0-4861-B684-2CA3FB25756F}" name="Table1" displayName="Table1" ref="A4:D10" totalsRowShown="0" headerRowDxfId="5" tableBorderDxfId="9">
  <autoFilter ref="A4:D10" xr:uid="{A09B64C5-67B0-4861-B684-2CA3FB25756F}"/>
  <tableColumns count="4">
    <tableColumn id="1" xr3:uid="{A3EF3E47-E474-4771-AFB8-1DFF22251CE3}" name="Month" dataDxfId="8"/>
    <tableColumn id="2" xr3:uid="{C0EB1B50-F04F-4183-9BDC-FA0397486ADD}" name="Category" dataDxfId="7"/>
    <tableColumn id="3" xr3:uid="{4245B48E-86BB-4E0C-B632-8B0204F5D6C6}" name="Revenue" dataDxfId="6"/>
    <tableColumn id="4" xr3:uid="{6010D7F4-BBB2-433B-9748-01965C2FAFF2}" name="Avg Revenue" dataDxfId="4">
      <calculatedColumnFormula>AVERAGE($C5:$C10)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A29" workbookViewId="0">
      <selection activeCell="E14" sqref="E1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5.81640625" bestFit="1" customWidth="1"/>
    <col min="4" max="4" width="14.36328125" bestFit="1" customWidth="1"/>
    <col min="5" max="5" width="15.81640625" bestFit="1" customWidth="1"/>
    <col min="6" max="6" width="14.36328125" bestFit="1" customWidth="1"/>
    <col min="7" max="7" width="15.81640625" bestFit="1" customWidth="1"/>
    <col min="8" max="8" width="14.36328125" bestFit="1" customWidth="1"/>
    <col min="9" max="9" width="15.81640625" bestFit="1" customWidth="1"/>
    <col min="10" max="10" width="14.36328125" bestFit="1" customWidth="1"/>
    <col min="11" max="11" width="15.81640625" bestFit="1" customWidth="1"/>
    <col min="12" max="12" width="19.1796875" bestFit="1" customWidth="1"/>
    <col min="13" max="13" width="20.6328125" bestFit="1" customWidth="1"/>
  </cols>
  <sheetData>
    <row r="1" spans="1:9" ht="18.5" x14ac:dyDescent="0.4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ht="26" customHeight="1" x14ac:dyDescent="0.35">
      <c r="A3" s="9" t="s">
        <v>1</v>
      </c>
      <c r="B3" s="9"/>
      <c r="C3" s="9"/>
      <c r="D3" s="9"/>
      <c r="E3" s="9"/>
      <c r="F3" s="9"/>
      <c r="G3" s="9"/>
      <c r="H3" s="9"/>
      <c r="I3" s="9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5" t="s">
        <v>57</v>
      </c>
      <c r="I4" s="1" t="s">
        <v>9</v>
      </c>
    </row>
    <row r="5" spans="1:9" x14ac:dyDescent="0.35">
      <c r="A5" s="2" t="s">
        <v>10</v>
      </c>
      <c r="B5" s="2">
        <v>1001</v>
      </c>
      <c r="C5" s="2" t="s">
        <v>11</v>
      </c>
      <c r="D5" s="2" t="s">
        <v>12</v>
      </c>
      <c r="E5" s="2">
        <v>5</v>
      </c>
      <c r="F5" s="2">
        <v>120</v>
      </c>
      <c r="G5" s="2">
        <f>F5*E5</f>
        <v>600</v>
      </c>
      <c r="H5" s="2" t="str">
        <f>TEXT(A5, "yyyy-mm")</f>
        <v>2026-01</v>
      </c>
      <c r="I5" s="2" t="s">
        <v>13</v>
      </c>
    </row>
    <row r="6" spans="1:9" x14ac:dyDescent="0.35">
      <c r="A6" s="2" t="s">
        <v>14</v>
      </c>
      <c r="B6" s="2">
        <v>1002</v>
      </c>
      <c r="C6" s="2" t="s">
        <v>15</v>
      </c>
      <c r="D6" s="2" t="s">
        <v>16</v>
      </c>
      <c r="E6" s="2">
        <v>2</v>
      </c>
      <c r="F6" s="2">
        <v>3500</v>
      </c>
      <c r="G6" s="2">
        <f t="shared" ref="G6:G19" si="0">F6*E6</f>
        <v>7000</v>
      </c>
      <c r="H6" s="2" t="str">
        <f t="shared" ref="H6:H19" si="1">TEXT(A6, "yyyy-mm")</f>
        <v>2026-01</v>
      </c>
      <c r="I6" s="2" t="s">
        <v>17</v>
      </c>
    </row>
    <row r="7" spans="1:9" x14ac:dyDescent="0.35">
      <c r="A7" s="2" t="s">
        <v>18</v>
      </c>
      <c r="B7" s="2">
        <v>1003</v>
      </c>
      <c r="C7" s="2" t="s">
        <v>19</v>
      </c>
      <c r="D7" s="2" t="s">
        <v>20</v>
      </c>
      <c r="E7" s="2">
        <v>15</v>
      </c>
      <c r="F7" s="2">
        <v>25</v>
      </c>
      <c r="G7" s="2">
        <f t="shared" si="0"/>
        <v>375</v>
      </c>
      <c r="H7" s="2" t="str">
        <f t="shared" si="1"/>
        <v>2026-02</v>
      </c>
      <c r="I7" s="2" t="s">
        <v>21</v>
      </c>
    </row>
    <row r="8" spans="1:9" x14ac:dyDescent="0.35">
      <c r="A8" s="2" t="s">
        <v>22</v>
      </c>
      <c r="B8" s="2">
        <v>1004</v>
      </c>
      <c r="C8" s="2" t="s">
        <v>11</v>
      </c>
      <c r="D8" s="2" t="s">
        <v>12</v>
      </c>
      <c r="E8" s="2">
        <v>1</v>
      </c>
      <c r="F8" s="2">
        <v>799</v>
      </c>
      <c r="G8" s="2">
        <f t="shared" si="0"/>
        <v>799</v>
      </c>
      <c r="H8" s="2" t="str">
        <f t="shared" si="1"/>
        <v>2026-02</v>
      </c>
      <c r="I8" s="2" t="s">
        <v>23</v>
      </c>
    </row>
    <row r="9" spans="1:9" x14ac:dyDescent="0.35">
      <c r="A9" s="2" t="s">
        <v>24</v>
      </c>
      <c r="B9" s="2">
        <v>1005</v>
      </c>
      <c r="C9" s="2" t="s">
        <v>11</v>
      </c>
      <c r="D9" s="2" t="s">
        <v>25</v>
      </c>
      <c r="E9" s="2">
        <v>3</v>
      </c>
      <c r="F9" s="2">
        <v>22000</v>
      </c>
      <c r="G9" s="2">
        <f t="shared" si="0"/>
        <v>66000</v>
      </c>
      <c r="H9" s="2" t="str">
        <f t="shared" si="1"/>
        <v>2026-03</v>
      </c>
      <c r="I9" s="2" t="s">
        <v>26</v>
      </c>
    </row>
    <row r="10" spans="1:9" x14ac:dyDescent="0.35">
      <c r="A10" s="2" t="s">
        <v>27</v>
      </c>
      <c r="B10" s="2">
        <v>1006</v>
      </c>
      <c r="C10" s="2" t="s">
        <v>28</v>
      </c>
      <c r="D10" s="2" t="s">
        <v>16</v>
      </c>
      <c r="E10" s="2">
        <v>10</v>
      </c>
      <c r="F10" s="2">
        <v>199</v>
      </c>
      <c r="G10" s="2">
        <f t="shared" si="0"/>
        <v>1990</v>
      </c>
      <c r="H10" s="2" t="str">
        <f t="shared" si="1"/>
        <v>2026-03</v>
      </c>
      <c r="I10" s="2" t="s">
        <v>29</v>
      </c>
    </row>
    <row r="11" spans="1:9" x14ac:dyDescent="0.35">
      <c r="A11" s="2" t="s">
        <v>30</v>
      </c>
      <c r="B11" s="2">
        <v>1007</v>
      </c>
      <c r="C11" s="2" t="s">
        <v>31</v>
      </c>
      <c r="D11" s="2" t="s">
        <v>20</v>
      </c>
      <c r="E11" s="2">
        <v>7</v>
      </c>
      <c r="F11" s="2">
        <v>450</v>
      </c>
      <c r="G11" s="2">
        <f t="shared" si="0"/>
        <v>3150</v>
      </c>
      <c r="H11" s="2" t="str">
        <f t="shared" si="1"/>
        <v>2026-04</v>
      </c>
      <c r="I11" s="2" t="s">
        <v>32</v>
      </c>
    </row>
    <row r="12" spans="1:9" x14ac:dyDescent="0.35">
      <c r="A12" s="2" t="s">
        <v>33</v>
      </c>
      <c r="B12" s="2">
        <v>1008</v>
      </c>
      <c r="C12" s="2" t="s">
        <v>19</v>
      </c>
      <c r="D12" s="2" t="s">
        <v>12</v>
      </c>
      <c r="E12" s="2">
        <v>12</v>
      </c>
      <c r="F12" s="2">
        <v>60</v>
      </c>
      <c r="G12" s="2">
        <f t="shared" si="0"/>
        <v>720</v>
      </c>
      <c r="H12" s="2" t="str">
        <f t="shared" si="1"/>
        <v>2026-04</v>
      </c>
      <c r="I12" s="2" t="s">
        <v>34</v>
      </c>
    </row>
    <row r="13" spans="1:9" x14ac:dyDescent="0.35">
      <c r="A13" s="2" t="s">
        <v>35</v>
      </c>
      <c r="B13" s="2">
        <v>1009</v>
      </c>
      <c r="C13" s="2" t="s">
        <v>11</v>
      </c>
      <c r="D13" s="2" t="s">
        <v>25</v>
      </c>
      <c r="E13" s="2">
        <v>2</v>
      </c>
      <c r="F13" s="2">
        <v>1299</v>
      </c>
      <c r="G13" s="2">
        <f t="shared" si="0"/>
        <v>2598</v>
      </c>
      <c r="H13" s="2" t="str">
        <f t="shared" si="1"/>
        <v>2026-05</v>
      </c>
      <c r="I13" s="2" t="s">
        <v>36</v>
      </c>
    </row>
    <row r="14" spans="1:9" x14ac:dyDescent="0.35">
      <c r="A14" s="2" t="s">
        <v>37</v>
      </c>
      <c r="B14" s="2">
        <v>1010</v>
      </c>
      <c r="C14" s="2" t="s">
        <v>15</v>
      </c>
      <c r="D14" s="2" t="s">
        <v>20</v>
      </c>
      <c r="E14" s="2">
        <v>1</v>
      </c>
      <c r="F14" s="2">
        <v>7500</v>
      </c>
      <c r="G14" s="2">
        <f t="shared" si="0"/>
        <v>7500</v>
      </c>
      <c r="H14" s="2" t="str">
        <f t="shared" si="1"/>
        <v>2026-05</v>
      </c>
      <c r="I14" s="2" t="s">
        <v>38</v>
      </c>
    </row>
    <row r="15" spans="1:9" x14ac:dyDescent="0.35">
      <c r="A15" s="2" t="s">
        <v>39</v>
      </c>
      <c r="B15" s="2">
        <v>1011</v>
      </c>
      <c r="C15" s="2" t="s">
        <v>11</v>
      </c>
      <c r="D15" s="2" t="s">
        <v>12</v>
      </c>
      <c r="E15" s="2">
        <v>6</v>
      </c>
      <c r="F15" s="2">
        <v>22000</v>
      </c>
      <c r="G15" s="2">
        <f t="shared" si="0"/>
        <v>132000</v>
      </c>
      <c r="H15" s="2" t="str">
        <f t="shared" si="1"/>
        <v>2026-06</v>
      </c>
      <c r="I15" s="2" t="s">
        <v>40</v>
      </c>
    </row>
    <row r="16" spans="1:9" x14ac:dyDescent="0.35">
      <c r="A16" s="2" t="s">
        <v>41</v>
      </c>
      <c r="B16" s="2">
        <v>1012</v>
      </c>
      <c r="C16" s="2" t="s">
        <v>19</v>
      </c>
      <c r="D16" s="2" t="s">
        <v>16</v>
      </c>
      <c r="E16" s="2">
        <v>8</v>
      </c>
      <c r="F16" s="2">
        <v>120</v>
      </c>
      <c r="G16" s="2">
        <f t="shared" si="0"/>
        <v>960</v>
      </c>
      <c r="H16" s="2" t="str">
        <f t="shared" si="1"/>
        <v>2026-06</v>
      </c>
      <c r="I16" s="2" t="s">
        <v>42</v>
      </c>
    </row>
    <row r="17" spans="1:13" x14ac:dyDescent="0.35">
      <c r="A17" s="2" t="s">
        <v>43</v>
      </c>
      <c r="B17" s="2">
        <v>1013</v>
      </c>
      <c r="C17" s="2" t="s">
        <v>28</v>
      </c>
      <c r="D17" s="2" t="s">
        <v>25</v>
      </c>
      <c r="E17" s="2">
        <v>4</v>
      </c>
      <c r="F17" s="2">
        <v>499</v>
      </c>
      <c r="G17" s="2">
        <f t="shared" si="0"/>
        <v>1996</v>
      </c>
      <c r="H17" s="2" t="str">
        <f t="shared" si="1"/>
        <v>2026-07</v>
      </c>
      <c r="I17" s="2" t="s">
        <v>44</v>
      </c>
    </row>
    <row r="18" spans="1:13" x14ac:dyDescent="0.35">
      <c r="A18" s="2" t="s">
        <v>45</v>
      </c>
      <c r="B18" s="2">
        <v>1014</v>
      </c>
      <c r="C18" s="2" t="s">
        <v>11</v>
      </c>
      <c r="D18" s="2" t="s">
        <v>20</v>
      </c>
      <c r="E18" s="2">
        <v>3</v>
      </c>
      <c r="F18" s="2">
        <v>2499</v>
      </c>
      <c r="G18" s="2">
        <f t="shared" si="0"/>
        <v>7497</v>
      </c>
      <c r="H18" s="2" t="str">
        <f t="shared" si="1"/>
        <v>2026-07</v>
      </c>
      <c r="I18" s="2" t="s">
        <v>46</v>
      </c>
    </row>
    <row r="19" spans="1:13" x14ac:dyDescent="0.35">
      <c r="A19" s="2" t="s">
        <v>47</v>
      </c>
      <c r="B19" s="2">
        <v>1015</v>
      </c>
      <c r="C19" s="2" t="s">
        <v>31</v>
      </c>
      <c r="D19" s="2" t="s">
        <v>12</v>
      </c>
      <c r="E19" s="2">
        <v>2</v>
      </c>
      <c r="F19" s="2">
        <v>3500</v>
      </c>
      <c r="G19" s="2">
        <f t="shared" si="0"/>
        <v>7000</v>
      </c>
      <c r="H19" s="2" t="str">
        <f t="shared" si="1"/>
        <v>2026-08</v>
      </c>
      <c r="I19" s="2" t="s">
        <v>48</v>
      </c>
    </row>
    <row r="21" spans="1:13" hidden="1" x14ac:dyDescent="0.35">
      <c r="A21" s="3" t="s">
        <v>49</v>
      </c>
    </row>
    <row r="22" spans="1:13" hidden="1" x14ac:dyDescent="0.35">
      <c r="A22" t="s">
        <v>50</v>
      </c>
    </row>
    <row r="23" spans="1:13" hidden="1" x14ac:dyDescent="0.35">
      <c r="A23" t="s">
        <v>51</v>
      </c>
    </row>
    <row r="24" spans="1:13" hidden="1" x14ac:dyDescent="0.35">
      <c r="A24" t="s">
        <v>52</v>
      </c>
    </row>
    <row r="25" spans="1:13" hidden="1" x14ac:dyDescent="0.35">
      <c r="A25" t="s">
        <v>53</v>
      </c>
    </row>
    <row r="26" spans="1:13" hidden="1" x14ac:dyDescent="0.35">
      <c r="A26" t="s">
        <v>54</v>
      </c>
    </row>
    <row r="29" spans="1:13" x14ac:dyDescent="0.35">
      <c r="B29" s="6" t="s">
        <v>99</v>
      </c>
    </row>
    <row r="30" spans="1:13" x14ac:dyDescent="0.35">
      <c r="B30" t="s">
        <v>28</v>
      </c>
      <c r="D30" t="s">
        <v>11</v>
      </c>
      <c r="F30" t="s">
        <v>15</v>
      </c>
      <c r="H30" t="s">
        <v>31</v>
      </c>
      <c r="J30" t="s">
        <v>19</v>
      </c>
      <c r="L30" t="s">
        <v>101</v>
      </c>
      <c r="M30" t="s">
        <v>102</v>
      </c>
    </row>
    <row r="31" spans="1:13" x14ac:dyDescent="0.35">
      <c r="A31" s="6" t="s">
        <v>92</v>
      </c>
      <c r="B31" t="s">
        <v>100</v>
      </c>
      <c r="C31" t="s">
        <v>103</v>
      </c>
      <c r="D31" t="s">
        <v>100</v>
      </c>
      <c r="E31" t="s">
        <v>103</v>
      </c>
      <c r="F31" t="s">
        <v>100</v>
      </c>
      <c r="G31" t="s">
        <v>103</v>
      </c>
      <c r="H31" t="s">
        <v>100</v>
      </c>
      <c r="I31" t="s">
        <v>103</v>
      </c>
      <c r="J31" t="s">
        <v>100</v>
      </c>
      <c r="K31" t="s">
        <v>103</v>
      </c>
    </row>
    <row r="32" spans="1:13" x14ac:dyDescent="0.35">
      <c r="A32" s="7" t="s">
        <v>58</v>
      </c>
      <c r="B32" s="8"/>
      <c r="C32" s="8"/>
      <c r="D32" s="8">
        <v>600</v>
      </c>
      <c r="E32" s="8">
        <v>1</v>
      </c>
      <c r="F32" s="8">
        <v>7000</v>
      </c>
      <c r="G32" s="8">
        <v>1</v>
      </c>
      <c r="H32" s="8"/>
      <c r="I32" s="8"/>
      <c r="J32" s="8"/>
      <c r="K32" s="8"/>
      <c r="L32" s="8">
        <v>7600</v>
      </c>
      <c r="M32" s="8">
        <v>2</v>
      </c>
    </row>
    <row r="33" spans="1:13" x14ac:dyDescent="0.35">
      <c r="A33" s="7" t="s">
        <v>59</v>
      </c>
      <c r="B33" s="8"/>
      <c r="C33" s="8"/>
      <c r="D33" s="8">
        <v>799</v>
      </c>
      <c r="E33" s="8">
        <v>1</v>
      </c>
      <c r="F33" s="8"/>
      <c r="G33" s="8"/>
      <c r="H33" s="8"/>
      <c r="I33" s="8"/>
      <c r="J33" s="8">
        <v>375</v>
      </c>
      <c r="K33" s="8">
        <v>1</v>
      </c>
      <c r="L33" s="8">
        <v>1174</v>
      </c>
      <c r="M33" s="8">
        <v>2</v>
      </c>
    </row>
    <row r="34" spans="1:13" x14ac:dyDescent="0.35">
      <c r="A34" s="7" t="s">
        <v>60</v>
      </c>
      <c r="B34" s="8">
        <v>1990</v>
      </c>
      <c r="C34" s="8">
        <v>1</v>
      </c>
      <c r="D34" s="8">
        <v>66000</v>
      </c>
      <c r="E34" s="8">
        <v>1</v>
      </c>
      <c r="F34" s="8"/>
      <c r="G34" s="8"/>
      <c r="H34" s="8"/>
      <c r="I34" s="8"/>
      <c r="J34" s="8"/>
      <c r="K34" s="8"/>
      <c r="L34" s="8">
        <v>67990</v>
      </c>
      <c r="M34" s="8">
        <v>2</v>
      </c>
    </row>
    <row r="35" spans="1:13" x14ac:dyDescent="0.35">
      <c r="A35" s="7" t="s">
        <v>93</v>
      </c>
      <c r="B35" s="8"/>
      <c r="C35" s="8"/>
      <c r="D35" s="8"/>
      <c r="E35" s="8"/>
      <c r="F35" s="8"/>
      <c r="G35" s="8"/>
      <c r="H35" s="8">
        <v>3150</v>
      </c>
      <c r="I35" s="8">
        <v>1</v>
      </c>
      <c r="J35" s="8">
        <v>720</v>
      </c>
      <c r="K35" s="8">
        <v>1</v>
      </c>
      <c r="L35" s="8">
        <v>3870</v>
      </c>
      <c r="M35" s="8">
        <v>2</v>
      </c>
    </row>
    <row r="36" spans="1:13" x14ac:dyDescent="0.35">
      <c r="A36" s="7" t="s">
        <v>94</v>
      </c>
      <c r="B36" s="8"/>
      <c r="C36" s="8"/>
      <c r="D36" s="8">
        <v>2598</v>
      </c>
      <c r="E36" s="8">
        <v>1</v>
      </c>
      <c r="F36" s="8">
        <v>7500</v>
      </c>
      <c r="G36" s="8">
        <v>1</v>
      </c>
      <c r="H36" s="8"/>
      <c r="I36" s="8"/>
      <c r="J36" s="8"/>
      <c r="K36" s="8"/>
      <c r="L36" s="8">
        <v>10098</v>
      </c>
      <c r="M36" s="8">
        <v>2</v>
      </c>
    </row>
    <row r="37" spans="1:13" x14ac:dyDescent="0.35">
      <c r="A37" s="7" t="s">
        <v>95</v>
      </c>
      <c r="B37" s="8"/>
      <c r="C37" s="8"/>
      <c r="D37" s="8">
        <v>132000</v>
      </c>
      <c r="E37" s="8">
        <v>1</v>
      </c>
      <c r="F37" s="8"/>
      <c r="G37" s="8"/>
      <c r="H37" s="8"/>
      <c r="I37" s="8"/>
      <c r="J37" s="8">
        <v>960</v>
      </c>
      <c r="K37" s="8">
        <v>1</v>
      </c>
      <c r="L37" s="8">
        <v>132960</v>
      </c>
      <c r="M37" s="8">
        <v>2</v>
      </c>
    </row>
    <row r="38" spans="1:13" x14ac:dyDescent="0.35">
      <c r="A38" s="7" t="s">
        <v>96</v>
      </c>
      <c r="B38" s="8">
        <v>1996</v>
      </c>
      <c r="C38" s="8">
        <v>1</v>
      </c>
      <c r="D38" s="8">
        <v>7497</v>
      </c>
      <c r="E38" s="8">
        <v>1</v>
      </c>
      <c r="F38" s="8"/>
      <c r="G38" s="8"/>
      <c r="H38" s="8"/>
      <c r="I38" s="8"/>
      <c r="J38" s="8"/>
      <c r="K38" s="8"/>
      <c r="L38" s="8">
        <v>9493</v>
      </c>
      <c r="M38" s="8">
        <v>2</v>
      </c>
    </row>
    <row r="39" spans="1:13" x14ac:dyDescent="0.35">
      <c r="A39" s="7" t="s">
        <v>97</v>
      </c>
      <c r="B39" s="8"/>
      <c r="C39" s="8"/>
      <c r="D39" s="8"/>
      <c r="E39" s="8"/>
      <c r="F39" s="8"/>
      <c r="G39" s="8"/>
      <c r="H39" s="8">
        <v>7000</v>
      </c>
      <c r="I39" s="8">
        <v>1</v>
      </c>
      <c r="J39" s="8"/>
      <c r="K39" s="8"/>
      <c r="L39" s="8">
        <v>7000</v>
      </c>
      <c r="M39" s="8">
        <v>1</v>
      </c>
    </row>
    <row r="40" spans="1:13" x14ac:dyDescent="0.35">
      <c r="A40" s="7" t="s">
        <v>98</v>
      </c>
      <c r="B40" s="8">
        <v>3986</v>
      </c>
      <c r="C40" s="8">
        <v>2</v>
      </c>
      <c r="D40" s="8">
        <v>209494</v>
      </c>
      <c r="E40" s="8">
        <v>6</v>
      </c>
      <c r="F40" s="8">
        <v>14500</v>
      </c>
      <c r="G40" s="8">
        <v>2</v>
      </c>
      <c r="H40" s="8">
        <v>10150</v>
      </c>
      <c r="I40" s="8">
        <v>2</v>
      </c>
      <c r="J40" s="8">
        <v>2055</v>
      </c>
      <c r="K40" s="8">
        <v>3</v>
      </c>
      <c r="L40" s="8">
        <v>240185</v>
      </c>
      <c r="M40" s="8">
        <v>15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zoomScale="82" workbookViewId="0">
      <selection activeCell="I6" sqref="I6"/>
    </sheetView>
  </sheetViews>
  <sheetFormatPr defaultRowHeight="14.5" x14ac:dyDescent="0.35"/>
  <cols>
    <col min="1" max="1" width="12" customWidth="1"/>
    <col min="2" max="2" width="18" customWidth="1"/>
    <col min="3" max="4" width="14" customWidth="1"/>
    <col min="5" max="5" width="8" customWidth="1"/>
    <col min="6" max="6" width="40" customWidth="1"/>
  </cols>
  <sheetData>
    <row r="1" spans="1:14" ht="42.5" customHeight="1" x14ac:dyDescent="0.3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spans="1:14" x14ac:dyDescent="0.35">
      <c r="A3" s="9" t="s">
        <v>56</v>
      </c>
      <c r="B3" s="9"/>
      <c r="C3" s="9"/>
      <c r="D3" s="11"/>
    </row>
    <row r="4" spans="1:14" x14ac:dyDescent="0.35">
      <c r="A4" s="14" t="s">
        <v>57</v>
      </c>
      <c r="B4" s="1" t="s">
        <v>4</v>
      </c>
      <c r="C4" s="1" t="s">
        <v>8</v>
      </c>
      <c r="D4" s="13" t="s">
        <v>104</v>
      </c>
    </row>
    <row r="5" spans="1:14" x14ac:dyDescent="0.35">
      <c r="A5" s="15" t="s">
        <v>58</v>
      </c>
      <c r="B5" s="2" t="s">
        <v>11</v>
      </c>
      <c r="C5" s="2">
        <v>12000</v>
      </c>
      <c r="D5" s="12">
        <f>AVERAGE($C5:$C10)</f>
        <v>10415</v>
      </c>
    </row>
    <row r="6" spans="1:14" x14ac:dyDescent="0.35">
      <c r="A6" s="15" t="s">
        <v>58</v>
      </c>
      <c r="B6" s="2" t="s">
        <v>15</v>
      </c>
      <c r="C6" s="2">
        <v>8500</v>
      </c>
      <c r="D6" s="12">
        <v>10415</v>
      </c>
    </row>
    <row r="7" spans="1:14" x14ac:dyDescent="0.35">
      <c r="A7" s="15" t="s">
        <v>59</v>
      </c>
      <c r="B7" s="2" t="s">
        <v>11</v>
      </c>
      <c r="C7" s="2">
        <v>15000</v>
      </c>
      <c r="D7" s="12">
        <v>10415</v>
      </c>
    </row>
    <row r="8" spans="1:14" x14ac:dyDescent="0.35">
      <c r="A8" s="15" t="s">
        <v>59</v>
      </c>
      <c r="B8" s="2" t="s">
        <v>19</v>
      </c>
      <c r="C8" s="2">
        <v>3000</v>
      </c>
      <c r="D8" s="12">
        <v>10415</v>
      </c>
    </row>
    <row r="9" spans="1:14" x14ac:dyDescent="0.35">
      <c r="A9" s="15" t="s">
        <v>60</v>
      </c>
      <c r="B9" s="2" t="s">
        <v>11</v>
      </c>
      <c r="C9" s="2">
        <v>22000</v>
      </c>
      <c r="D9" s="12">
        <v>10415</v>
      </c>
    </row>
    <row r="10" spans="1:14" x14ac:dyDescent="0.35">
      <c r="A10" s="15" t="s">
        <v>60</v>
      </c>
      <c r="B10" s="2" t="s">
        <v>28</v>
      </c>
      <c r="C10" s="2">
        <v>1990</v>
      </c>
      <c r="D10" s="12">
        <v>10415</v>
      </c>
    </row>
  </sheetData>
  <mergeCells count="2">
    <mergeCell ref="A1:N1"/>
    <mergeCell ref="A3:C3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A5" workbookViewId="0">
      <selection activeCell="A13" sqref="A13:A19"/>
    </sheetView>
  </sheetViews>
  <sheetFormatPr defaultRowHeight="14.5" x14ac:dyDescent="0.35"/>
  <cols>
    <col min="1" max="1" width="12" customWidth="1"/>
    <col min="2" max="2" width="16" customWidth="1"/>
    <col min="3" max="3" width="28" customWidth="1"/>
    <col min="4" max="4" width="12" customWidth="1"/>
    <col min="5" max="5" width="10" customWidth="1"/>
    <col min="6" max="6" width="12" customWidth="1"/>
    <col min="7" max="7" width="14" customWidth="1"/>
    <col min="8" max="8" width="20" customWidth="1"/>
    <col min="9" max="9" width="10.54296875" style="16" customWidth="1"/>
    <col min="10" max="12" width="8.7265625" style="16"/>
  </cols>
  <sheetData>
    <row r="1" spans="1:12" ht="46" customHeight="1" x14ac:dyDescent="0.35">
      <c r="A1" s="10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35">
      <c r="A3" s="9" t="s">
        <v>62</v>
      </c>
      <c r="B3" s="9"/>
      <c r="C3" s="9"/>
      <c r="D3" s="9"/>
      <c r="E3" s="9"/>
      <c r="F3" s="9"/>
      <c r="G3" s="9"/>
      <c r="H3" s="9"/>
    </row>
    <row r="4" spans="1:12" ht="29" x14ac:dyDescent="0.35">
      <c r="A4" s="1" t="s">
        <v>3</v>
      </c>
      <c r="B4" s="1" t="s">
        <v>9</v>
      </c>
      <c r="C4" s="1" t="s">
        <v>63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64</v>
      </c>
      <c r="I4" s="17" t="s">
        <v>105</v>
      </c>
      <c r="J4" s="17" t="s">
        <v>106</v>
      </c>
      <c r="K4" s="17" t="s">
        <v>107</v>
      </c>
      <c r="L4" s="17" t="s">
        <v>108</v>
      </c>
    </row>
    <row r="5" spans="1:12" x14ac:dyDescent="0.35">
      <c r="A5" s="2">
        <v>2001</v>
      </c>
      <c r="B5" s="2" t="s">
        <v>71</v>
      </c>
      <c r="C5" s="2" t="s">
        <v>65</v>
      </c>
      <c r="D5" s="2" t="s">
        <v>12</v>
      </c>
      <c r="E5" s="2" t="s">
        <v>66</v>
      </c>
      <c r="F5" s="2">
        <v>120</v>
      </c>
      <c r="G5" s="2">
        <f>F5*E5</f>
        <v>600</v>
      </c>
      <c r="H5" s="2"/>
      <c r="I5" s="16" t="str">
        <f>TRIM(PROPER(B5))</f>
        <v>Alice</v>
      </c>
      <c r="J5" s="16" t="str">
        <f>PROPER(TRIM(D5))</f>
        <v>North</v>
      </c>
      <c r="K5" s="16">
        <f>VALUE(F5)</f>
        <v>120</v>
      </c>
      <c r="L5" s="16" t="str">
        <f>IF(E5="", 0, E5)</f>
        <v>5</v>
      </c>
    </row>
    <row r="6" spans="1:12" x14ac:dyDescent="0.35">
      <c r="A6" s="2">
        <v>2002</v>
      </c>
      <c r="B6" s="2" t="s">
        <v>67</v>
      </c>
      <c r="C6" s="2" t="s">
        <v>68</v>
      </c>
      <c r="D6" s="2" t="s">
        <v>16</v>
      </c>
      <c r="E6" s="2" t="s">
        <v>69</v>
      </c>
      <c r="F6" s="2">
        <v>25</v>
      </c>
      <c r="G6" s="2">
        <f t="shared" ref="G6:G11" si="0">F6*E6</f>
        <v>250</v>
      </c>
      <c r="H6" s="2"/>
      <c r="I6" s="16" t="str">
        <f t="shared" ref="I6:I11" si="1">TRIM(PROPER(B6))</f>
        <v>Bob</v>
      </c>
      <c r="J6" s="16" t="str">
        <f t="shared" ref="J6:J11" si="2">PROPER(TRIM(D6))</f>
        <v>South</v>
      </c>
      <c r="K6" s="16">
        <f t="shared" ref="K6:K11" si="3">VALUE(F6)</f>
        <v>25</v>
      </c>
      <c r="L6" s="16" t="str">
        <f t="shared" ref="L6:L11" si="4">IF(E6="", 0, E6)</f>
        <v>10</v>
      </c>
    </row>
    <row r="7" spans="1:12" x14ac:dyDescent="0.35">
      <c r="A7" s="2">
        <v>2003</v>
      </c>
      <c r="B7" s="2" t="s">
        <v>109</v>
      </c>
      <c r="C7" s="2" t="s">
        <v>70</v>
      </c>
      <c r="D7" s="2" t="s">
        <v>20</v>
      </c>
      <c r="E7" s="2">
        <v>0</v>
      </c>
      <c r="F7" s="2">
        <v>350</v>
      </c>
      <c r="G7" s="2">
        <f t="shared" si="0"/>
        <v>0</v>
      </c>
      <c r="H7" s="2"/>
      <c r="I7" s="16" t="str">
        <f t="shared" si="1"/>
        <v>Carol</v>
      </c>
      <c r="J7" s="16" t="str">
        <f t="shared" si="2"/>
        <v>East</v>
      </c>
      <c r="K7" s="16">
        <f t="shared" si="3"/>
        <v>350</v>
      </c>
      <c r="L7" s="16">
        <f t="shared" si="4"/>
        <v>0</v>
      </c>
    </row>
    <row r="8" spans="1:12" x14ac:dyDescent="0.35">
      <c r="A8" s="2">
        <v>2004</v>
      </c>
      <c r="B8" s="2" t="s">
        <v>71</v>
      </c>
      <c r="C8" s="2" t="s">
        <v>72</v>
      </c>
      <c r="D8" s="2" t="s">
        <v>12</v>
      </c>
      <c r="E8" s="2" t="s">
        <v>66</v>
      </c>
      <c r="F8" s="2">
        <v>120</v>
      </c>
      <c r="G8" s="2">
        <f t="shared" si="0"/>
        <v>600</v>
      </c>
      <c r="H8" s="2"/>
      <c r="I8" s="16" t="str">
        <f t="shared" si="1"/>
        <v>Alice</v>
      </c>
      <c r="J8" s="16" t="str">
        <f t="shared" si="2"/>
        <v>North</v>
      </c>
      <c r="K8" s="16">
        <f t="shared" si="3"/>
        <v>120</v>
      </c>
      <c r="L8" s="16" t="str">
        <f t="shared" si="4"/>
        <v>5</v>
      </c>
    </row>
    <row r="9" spans="1:12" x14ac:dyDescent="0.35">
      <c r="A9" s="2">
        <v>2005</v>
      </c>
      <c r="B9" s="2" t="s">
        <v>110</v>
      </c>
      <c r="C9" s="2" t="s">
        <v>73</v>
      </c>
      <c r="D9" s="2" t="s">
        <v>25</v>
      </c>
      <c r="E9" s="2" t="s">
        <v>74</v>
      </c>
      <c r="F9" s="2">
        <v>22000</v>
      </c>
      <c r="G9" s="2">
        <f t="shared" si="0"/>
        <v>66000</v>
      </c>
      <c r="H9" s="2"/>
      <c r="I9" s="16" t="str">
        <f t="shared" si="1"/>
        <v>Dan</v>
      </c>
      <c r="J9" s="16" t="str">
        <f t="shared" si="2"/>
        <v>West</v>
      </c>
      <c r="K9" s="16">
        <f t="shared" si="3"/>
        <v>22000</v>
      </c>
      <c r="L9" s="16" t="str">
        <f t="shared" si="4"/>
        <v>3</v>
      </c>
    </row>
    <row r="10" spans="1:12" x14ac:dyDescent="0.35">
      <c r="A10" s="2">
        <v>2006</v>
      </c>
      <c r="B10" s="2" t="s">
        <v>111</v>
      </c>
      <c r="C10" s="2" t="s">
        <v>75</v>
      </c>
      <c r="D10" s="2" t="s">
        <v>16</v>
      </c>
      <c r="E10" s="2" t="s">
        <v>76</v>
      </c>
      <c r="F10" s="2">
        <v>799</v>
      </c>
      <c r="G10" s="2">
        <f t="shared" si="0"/>
        <v>1598</v>
      </c>
      <c r="H10" s="2"/>
      <c r="I10" s="16" t="str">
        <f t="shared" si="1"/>
        <v>Eve</v>
      </c>
      <c r="J10" s="16" t="str">
        <f t="shared" si="2"/>
        <v>South</v>
      </c>
      <c r="K10" s="16">
        <f t="shared" si="3"/>
        <v>799</v>
      </c>
      <c r="L10" s="16" t="str">
        <f t="shared" si="4"/>
        <v>2</v>
      </c>
    </row>
    <row r="11" spans="1:12" x14ac:dyDescent="0.35">
      <c r="A11" s="2">
        <v>2007</v>
      </c>
      <c r="B11" s="2" t="s">
        <v>77</v>
      </c>
      <c r="C11" s="2" t="s">
        <v>78</v>
      </c>
      <c r="D11" s="2" t="s">
        <v>20</v>
      </c>
      <c r="E11" s="2" t="s">
        <v>79</v>
      </c>
      <c r="F11" s="2">
        <v>450</v>
      </c>
      <c r="G11" s="2">
        <f t="shared" si="0"/>
        <v>1800</v>
      </c>
      <c r="H11" s="2"/>
      <c r="I11" s="16" t="str">
        <f t="shared" si="1"/>
        <v>Frank</v>
      </c>
      <c r="J11" s="16" t="str">
        <f t="shared" si="2"/>
        <v>East</v>
      </c>
      <c r="K11" s="16">
        <f t="shared" si="3"/>
        <v>450</v>
      </c>
      <c r="L11" s="16" t="str">
        <f t="shared" si="4"/>
        <v>4</v>
      </c>
    </row>
    <row r="13" spans="1:12" x14ac:dyDescent="0.35">
      <c r="A13" s="3"/>
    </row>
  </sheetData>
  <mergeCells count="2">
    <mergeCell ref="A1:L1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>
      <selection activeCell="I18" sqref="I18"/>
    </sheetView>
  </sheetViews>
  <sheetFormatPr defaultRowHeight="14.5" x14ac:dyDescent="0.35"/>
  <cols>
    <col min="1" max="1" width="12" customWidth="1"/>
    <col min="2" max="2" width="20" customWidth="1"/>
    <col min="3" max="3" width="16" customWidth="1"/>
    <col min="4" max="4" width="14" customWidth="1"/>
    <col min="5" max="5" width="12" customWidth="1"/>
    <col min="6" max="6" width="12.6328125" customWidth="1"/>
  </cols>
  <sheetData>
    <row r="1" spans="1:13" ht="18.5" x14ac:dyDescent="0.45">
      <c r="A1" s="4" t="s">
        <v>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x14ac:dyDescent="0.35">
      <c r="A3" s="9" t="s">
        <v>81</v>
      </c>
      <c r="B3" s="9"/>
      <c r="C3" s="9"/>
      <c r="D3" s="9"/>
      <c r="E3" s="9"/>
    </row>
    <row r="4" spans="1:13" x14ac:dyDescent="0.35">
      <c r="A4" s="1" t="s">
        <v>3</v>
      </c>
      <c r="B4" s="1" t="s">
        <v>82</v>
      </c>
      <c r="C4" s="1" t="s">
        <v>4</v>
      </c>
      <c r="D4" s="1" t="s">
        <v>8</v>
      </c>
      <c r="E4" s="1" t="s">
        <v>83</v>
      </c>
      <c r="F4" s="1" t="s">
        <v>112</v>
      </c>
      <c r="G4" s="1" t="s">
        <v>8</v>
      </c>
    </row>
    <row r="5" spans="1:13" x14ac:dyDescent="0.35">
      <c r="A5" s="2">
        <v>3001</v>
      </c>
      <c r="B5" s="2" t="s">
        <v>84</v>
      </c>
      <c r="C5" s="2" t="s">
        <v>19</v>
      </c>
      <c r="D5" s="2">
        <v>120</v>
      </c>
      <c r="E5" s="2" t="s">
        <v>85</v>
      </c>
      <c r="F5" s="2">
        <v>120</v>
      </c>
      <c r="G5" s="2">
        <v>120</v>
      </c>
    </row>
    <row r="6" spans="1:13" x14ac:dyDescent="0.35">
      <c r="A6" s="2">
        <v>3002</v>
      </c>
      <c r="B6" s="2" t="s">
        <v>86</v>
      </c>
      <c r="C6" s="2" t="s">
        <v>11</v>
      </c>
      <c r="D6" s="2">
        <v>799</v>
      </c>
      <c r="E6" s="2" t="s">
        <v>87</v>
      </c>
      <c r="F6" s="2">
        <v>799</v>
      </c>
      <c r="G6" s="2">
        <v>799</v>
      </c>
    </row>
    <row r="7" spans="1:13" x14ac:dyDescent="0.35">
      <c r="A7" s="2">
        <v>3003</v>
      </c>
      <c r="B7" s="2" t="s">
        <v>88</v>
      </c>
      <c r="C7" s="2" t="s">
        <v>15</v>
      </c>
      <c r="D7" s="2">
        <v>7500</v>
      </c>
      <c r="E7" s="2" t="s">
        <v>85</v>
      </c>
      <c r="F7" s="2">
        <v>7500</v>
      </c>
      <c r="G7" s="2">
        <v>7500</v>
      </c>
    </row>
    <row r="8" spans="1:13" x14ac:dyDescent="0.35">
      <c r="A8" s="2">
        <v>3004</v>
      </c>
      <c r="B8" s="2" t="s">
        <v>89</v>
      </c>
      <c r="C8" s="2" t="s">
        <v>19</v>
      </c>
      <c r="D8" s="2">
        <v>25</v>
      </c>
      <c r="E8" s="2" t="s">
        <v>87</v>
      </c>
      <c r="F8" s="2">
        <v>25</v>
      </c>
      <c r="G8" s="2">
        <v>25</v>
      </c>
    </row>
    <row r="9" spans="1:13" x14ac:dyDescent="0.35">
      <c r="A9" s="2">
        <v>3005</v>
      </c>
      <c r="B9" s="2" t="s">
        <v>90</v>
      </c>
      <c r="C9" s="2" t="s">
        <v>11</v>
      </c>
      <c r="D9" s="2">
        <v>8999</v>
      </c>
      <c r="E9" s="2" t="s">
        <v>91</v>
      </c>
      <c r="F9" s="2">
        <v>8999</v>
      </c>
      <c r="G9" s="2">
        <v>8999</v>
      </c>
    </row>
    <row r="12" spans="1:13" x14ac:dyDescent="0.35">
      <c r="A12" s="3"/>
    </row>
  </sheetData>
  <mergeCells count="2">
    <mergeCell ref="A1:M1"/>
    <mergeCell ref="A3:E3"/>
  </mergeCells>
  <conditionalFormatting sqref="D5:D9">
    <cfRule type="top10" priority="14" percent="1" rank="10"/>
    <cfRule type="top10" dxfId="3" priority="13" percent="1" rank="10"/>
  </conditionalFormatting>
  <conditionalFormatting sqref="F5:F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9">
    <cfRule type="cellIs" dxfId="2" priority="8" operator="equal">
      <formula>"Pending"</formula>
    </cfRule>
  </conditionalFormatting>
  <conditionalFormatting sqref="H5">
    <cfRule type="expression" priority="3">
      <formula>AND($D2&gt;5000, $E2="Review")</formula>
    </cfRule>
  </conditionalFormatting>
  <conditionalFormatting sqref="G5:G9">
    <cfRule type="expression" dxfId="1" priority="2">
      <formula>AND($D1048574&gt;5000, $E1048574="Review")</formula>
    </cfRule>
  </conditionalFormatting>
  <conditionalFormatting sqref="A5:F9">
    <cfRule type="expression" dxfId="0" priority="1">
      <formula>AND($D2&gt;5000, $E2="Review")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5 - Pivot Practice</vt:lpstr>
      <vt:lpstr>Day 5 - Charts</vt:lpstr>
      <vt:lpstr>Day 5 - Data Cleaning</vt:lpstr>
      <vt:lpstr>Day 5 - ConditionalFmt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 Karanakota</cp:lastModifiedBy>
  <dcterms:created xsi:type="dcterms:W3CDTF">2026-01-11T09:38:16Z</dcterms:created>
  <dcterms:modified xsi:type="dcterms:W3CDTF">2026-01-11T13:02:29Z</dcterms:modified>
</cp:coreProperties>
</file>