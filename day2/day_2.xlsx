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al\Downloads\"/>
    </mc:Choice>
  </mc:AlternateContent>
  <xr:revisionPtr revIDLastSave="0" documentId="13_ncr:1_{E728A236-E9DC-4F32-AA5A-700FB0ED6C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2 Practice" sheetId="1" r:id="rId1"/>
  </sheets>
  <calcPr calcId="191029"/>
</workbook>
</file>

<file path=xl/calcChain.xml><?xml version="1.0" encoding="utf-8"?>
<calcChain xmlns="http://schemas.openxmlformats.org/spreadsheetml/2006/main">
  <c r="B60" i="1" l="1"/>
  <c r="B59" i="1"/>
  <c r="B58" i="1"/>
  <c r="C32" i="1"/>
  <c r="D32" i="1"/>
  <c r="F14" i="1"/>
  <c r="F15" i="1"/>
  <c r="F16" i="1"/>
  <c r="F17" i="1"/>
  <c r="F13" i="1"/>
  <c r="D14" i="1"/>
  <c r="D15" i="1"/>
  <c r="D16" i="1"/>
  <c r="D17" i="1"/>
  <c r="D13" i="1"/>
  <c r="C13" i="1"/>
  <c r="C14" i="1"/>
  <c r="C16" i="1"/>
  <c r="C17" i="1"/>
  <c r="C15" i="1"/>
</calcChain>
</file>

<file path=xl/sharedStrings.xml><?xml version="1.0" encoding="utf-8"?>
<sst xmlns="http://schemas.openxmlformats.org/spreadsheetml/2006/main" count="80" uniqueCount="57">
  <si>
    <t>SECTION 1: VLOOKUP — Two-table Example (Products &amp; Orders)</t>
  </si>
  <si>
    <t>Product ID</t>
  </si>
  <si>
    <t>Product Name</t>
  </si>
  <si>
    <t>Category</t>
  </si>
  <si>
    <t>Price</t>
  </si>
  <si>
    <t>Classic Notebook</t>
  </si>
  <si>
    <t>Stationery</t>
  </si>
  <si>
    <t>Gel Pen</t>
  </si>
  <si>
    <t>Travel Mug</t>
  </si>
  <si>
    <t>Home</t>
  </si>
  <si>
    <t>Bluetooth Mouse</t>
  </si>
  <si>
    <t>Electronics</t>
  </si>
  <si>
    <t>Keyboard</t>
  </si>
  <si>
    <t>Order ID</t>
  </si>
  <si>
    <t>Product Name (lookup)</t>
  </si>
  <si>
    <t>Price (VLOOKUP)</t>
  </si>
  <si>
    <t>Quantity</t>
  </si>
  <si>
    <t>Total Price (calc)</t>
  </si>
  <si>
    <t>SECTION 2: INDEX + MATCH — Flexible Lookup</t>
  </si>
  <si>
    <t>Emp ID</t>
  </si>
  <si>
    <t>Emp Name</t>
  </si>
  <si>
    <t>Dept</t>
  </si>
  <si>
    <t>Location</t>
  </si>
  <si>
    <t>Salary</t>
  </si>
  <si>
    <t>Aisha Khan</t>
  </si>
  <si>
    <t>Data Analytics</t>
  </si>
  <si>
    <t>Bengaluru</t>
  </si>
  <si>
    <t>Rohit Sharma</t>
  </si>
  <si>
    <t>Marketing</t>
  </si>
  <si>
    <t>Mumbai</t>
  </si>
  <si>
    <t>Meera Iyer</t>
  </si>
  <si>
    <t>Product</t>
  </si>
  <si>
    <t>Samir Gupta</t>
  </si>
  <si>
    <t>Engineering</t>
  </si>
  <si>
    <t>Delhi</t>
  </si>
  <si>
    <t>Nina Rao</t>
  </si>
  <si>
    <t>Design</t>
  </si>
  <si>
    <t>Pune</t>
  </si>
  <si>
    <t>Enter Emp ID:</t>
  </si>
  <si>
    <t>SECTION 3: XLOOKUP — Modern Lookup (If available)</t>
  </si>
  <si>
    <t>Product Name:</t>
  </si>
  <si>
    <t>Category (XLOOKUP)</t>
  </si>
  <si>
    <t>SECTION 4: Data Validation — Dropdowns for Forms</t>
  </si>
  <si>
    <t>Regions (for dropdown source):</t>
  </si>
  <si>
    <t>North</t>
  </si>
  <si>
    <t>South</t>
  </si>
  <si>
    <t>East</t>
  </si>
  <si>
    <t>West</t>
  </si>
  <si>
    <t>Central</t>
  </si>
  <si>
    <t>SECTION 5: Small Dashboard — KPI Cards &amp; Chart</t>
  </si>
  <si>
    <t>Total Sales (calc)</t>
  </si>
  <si>
    <t>Total Orders (count)</t>
  </si>
  <si>
    <t>Avg Order Value (calc)</t>
  </si>
  <si>
    <t>Day 2 – Lookups &amp; Dashboard</t>
  </si>
  <si>
    <t>==xlookup(B44, A37:A41,B37:B41)</t>
  </si>
  <si>
    <t>Select here 👈🏼</t>
  </si>
  <si>
    <t>&lt;not available&gt;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</si>
</sst>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E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0" borderId="1" xfId="0" quotePrefix="1" applyBorder="1"/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2 Practice'!$F$12</c:f>
              <c:strCache>
                <c:ptCount val="1"/>
                <c:pt idx="0">
                  <c:v>Total Price (calc)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'Day 2 Practice'!$C$13:$C$17</c:f>
              <c:strCache>
                <c:ptCount val="5"/>
                <c:pt idx="0">
                  <c:v>Classic Notebook</c:v>
                </c:pt>
                <c:pt idx="1">
                  <c:v>Bluetooth Mouse</c:v>
                </c:pt>
                <c:pt idx="2">
                  <c:v>Gel Pen</c:v>
                </c:pt>
                <c:pt idx="3">
                  <c:v>Travel Mug</c:v>
                </c:pt>
                <c:pt idx="4">
                  <c:v>Keyboard</c:v>
                </c:pt>
              </c:strCache>
            </c:strRef>
          </c:cat>
          <c:val>
            <c:numRef>
              <c:f>'Day 2 Practice'!$F$13:$F$17</c:f>
              <c:numCache>
                <c:formatCode>General</c:formatCode>
                <c:ptCount val="5"/>
                <c:pt idx="0">
                  <c:v>360</c:v>
                </c:pt>
                <c:pt idx="1">
                  <c:v>799</c:v>
                </c:pt>
                <c:pt idx="2">
                  <c:v>250</c:v>
                </c:pt>
                <c:pt idx="3">
                  <c:v>700</c:v>
                </c:pt>
                <c:pt idx="4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2-465C-B23A-B017510B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338223"/>
        <c:axId val="792339663"/>
      </c:barChart>
      <c:catAx>
        <c:axId val="79233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39663"/>
        <c:crosses val="autoZero"/>
        <c:auto val="1"/>
        <c:lblAlgn val="ctr"/>
        <c:lblOffset val="100"/>
        <c:noMultiLvlLbl val="0"/>
      </c:catAx>
      <c:valAx>
        <c:axId val="7923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3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'Day 2 Practice'!$F$12</c:f>
              <c:strCache>
                <c:ptCount val="1"/>
                <c:pt idx="0">
                  <c:v>Total Price (calc)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'Day 2 Practice'!$B$13:$B$17</c:f>
              <c:numCache>
                <c:formatCode>General</c:formatCode>
                <c:ptCount val="5"/>
                <c:pt idx="0">
                  <c:v>101</c:v>
                </c:pt>
                <c:pt idx="1">
                  <c:v>301</c:v>
                </c:pt>
                <c:pt idx="2">
                  <c:v>102</c:v>
                </c:pt>
                <c:pt idx="3">
                  <c:v>201</c:v>
                </c:pt>
                <c:pt idx="4">
                  <c:v>302</c:v>
                </c:pt>
              </c:numCache>
            </c:numRef>
          </c:cat>
          <c:val>
            <c:numRef>
              <c:f>'Day 2 Practice'!$F$13:$F$17</c:f>
              <c:numCache>
                <c:formatCode>General</c:formatCode>
                <c:ptCount val="5"/>
                <c:pt idx="0">
                  <c:v>360</c:v>
                </c:pt>
                <c:pt idx="1">
                  <c:v>799</c:v>
                </c:pt>
                <c:pt idx="2">
                  <c:v>250</c:v>
                </c:pt>
                <c:pt idx="3">
                  <c:v>700</c:v>
                </c:pt>
                <c:pt idx="4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2-4308-9344-9B8DBBC6E6C7}"/>
            </c:ext>
          </c:extLst>
        </c:ser>
        <c:ser>
          <c:idx val="1"/>
          <c:order val="1"/>
          <c:tx>
            <c:strRef>
              <c:f>'Day 2 Practice'!$G$12</c:f>
              <c:strCache>
                <c:ptCount val="1"/>
                <c:pt idx="0">
                  <c:v>Category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'Day 2 Practice'!$B$13:$B$17</c:f>
              <c:numCache>
                <c:formatCode>General</c:formatCode>
                <c:ptCount val="5"/>
                <c:pt idx="0">
                  <c:v>101</c:v>
                </c:pt>
                <c:pt idx="1">
                  <c:v>301</c:v>
                </c:pt>
                <c:pt idx="2">
                  <c:v>102</c:v>
                </c:pt>
                <c:pt idx="3">
                  <c:v>201</c:v>
                </c:pt>
                <c:pt idx="4">
                  <c:v>302</c:v>
                </c:pt>
              </c:numCache>
            </c:numRef>
          </c:cat>
          <c:val>
            <c:numRef>
              <c:f>'Day 2 Practice'!$G$13:$G$17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2-4308-9344-9B8DBBC6E6C7}"/>
            </c:ext>
          </c:extLst>
        </c:ser>
        <c:ser>
          <c:idx val="2"/>
          <c:order val="2"/>
          <c:tx>
            <c:strRef>
              <c:f>'Day 2 Practice'!$B$12:$B$17</c:f>
              <c:strCache>
                <c:ptCount val="6"/>
                <c:pt idx="0">
                  <c:v>Product ID</c:v>
                </c:pt>
                <c:pt idx="1">
                  <c:v>101</c:v>
                </c:pt>
                <c:pt idx="2">
                  <c:v>301</c:v>
                </c:pt>
                <c:pt idx="3">
                  <c:v>102</c:v>
                </c:pt>
                <c:pt idx="4">
                  <c:v>201</c:v>
                </c:pt>
                <c:pt idx="5">
                  <c:v>302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'Day 2 Practice'!$B$13:$B$17</c:f>
              <c:numCache>
                <c:formatCode>General</c:formatCode>
                <c:ptCount val="5"/>
                <c:pt idx="0">
                  <c:v>101</c:v>
                </c:pt>
                <c:pt idx="1">
                  <c:v>301</c:v>
                </c:pt>
                <c:pt idx="2">
                  <c:v>102</c:v>
                </c:pt>
                <c:pt idx="3">
                  <c:v>201</c:v>
                </c:pt>
                <c:pt idx="4">
                  <c:v>302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3702-4308-9344-9B8DBBC6E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2351183"/>
        <c:axId val="792354543"/>
      </c:barChart>
      <c:catAx>
        <c:axId val="7923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54543"/>
        <c:crosses val="autoZero"/>
        <c:auto val="1"/>
        <c:lblAlgn val="ctr"/>
        <c:lblOffset val="100"/>
        <c:noMultiLvlLbl val="0"/>
      </c:catAx>
      <c:valAx>
        <c:axId val="79235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5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1627217</xdr:colOff>
      <xdr:row>61</xdr:row>
      <xdr:rowOff>4039</xdr:rowOff>
    </xdr:from>
    <xdr:to>
      <xdr:col>7</xdr:col>
      <xdr:colOff>363245</xdr:colOff>
      <xdr:row>75</xdr:row>
      <xdr:rowOff>165064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9425E-8193-9F0A-8C2D-F83482A5C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126053</xdr:colOff>
      <xdr:row>61</xdr:row>
      <xdr:rowOff>7392</xdr:rowOff>
    </xdr:from>
    <xdr:to>
      <xdr:col>2</xdr:col>
      <xdr:colOff>1333501</xdr:colOff>
      <xdr:row>76</xdr:row>
      <xdr:rowOff>49473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1A846-66D2-A677-C308-9341D6397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83" workbookViewId="0">
      <selection activeCell="G48" sqref="G48"/>
    </sheetView>
  </sheetViews>
  <sheetFormatPr defaultRowHeight="14.5" x14ac:dyDescent="0.35"/>
  <cols>
    <col min="1" max="1" width="20.1796875" customWidth="1"/>
    <col min="2" max="2" width="28" customWidth="1"/>
    <col min="3" max="3" width="23.453125" customWidth="1"/>
    <col min="4" max="4" width="18" customWidth="1"/>
    <col min="5" max="5" width="12" customWidth="1"/>
    <col min="6" max="6" width="15.90625" customWidth="1"/>
    <col min="7" max="7" width="14" customWidth="1"/>
    <col min="8" max="8" width="18" customWidth="1"/>
  </cols>
  <sheetData>
    <row r="1" spans="1:8" ht="18.5" x14ac:dyDescent="0.35">
      <c r="A1" s="7" t="s">
        <v>53</v>
      </c>
      <c r="B1" s="5"/>
      <c r="C1" s="5"/>
      <c r="D1" s="5"/>
      <c r="E1" s="5"/>
      <c r="F1" s="5"/>
      <c r="G1" s="5"/>
      <c r="H1" s="5"/>
    </row>
    <row r="3" spans="1:8" x14ac:dyDescent="0.35">
      <c r="A3" s="9" t="s">
        <v>0</v>
      </c>
      <c r="B3" s="5"/>
      <c r="C3" s="5"/>
      <c r="D3" s="5"/>
      <c r="E3" s="5"/>
      <c r="F3" s="5"/>
      <c r="G3" s="5"/>
      <c r="H3" s="5"/>
    </row>
    <row r="4" spans="1:8" x14ac:dyDescent="0.35">
      <c r="A4" s="5"/>
      <c r="B4" s="5"/>
      <c r="C4" s="5"/>
      <c r="D4" s="5"/>
      <c r="E4" s="5"/>
      <c r="F4" s="5"/>
      <c r="G4" s="5"/>
      <c r="H4" s="5"/>
    </row>
    <row r="5" spans="1:8" x14ac:dyDescent="0.35">
      <c r="A5" s="13" t="s">
        <v>1</v>
      </c>
      <c r="B5" s="13" t="s">
        <v>2</v>
      </c>
      <c r="C5" s="13" t="s">
        <v>3</v>
      </c>
      <c r="D5" s="13" t="s">
        <v>4</v>
      </c>
      <c r="E5" s="14"/>
      <c r="F5" s="14"/>
      <c r="G5" s="14"/>
      <c r="H5" s="14"/>
    </row>
    <row r="6" spans="1:8" x14ac:dyDescent="0.35">
      <c r="A6" s="15">
        <v>101</v>
      </c>
      <c r="B6" s="15" t="s">
        <v>5</v>
      </c>
      <c r="C6" s="15" t="s">
        <v>6</v>
      </c>
      <c r="D6" s="15">
        <v>120</v>
      </c>
      <c r="E6" s="14"/>
      <c r="F6" s="14"/>
      <c r="G6" s="14"/>
      <c r="H6" s="14"/>
    </row>
    <row r="7" spans="1:8" x14ac:dyDescent="0.35">
      <c r="A7" s="15">
        <v>102</v>
      </c>
      <c r="B7" s="15" t="s">
        <v>7</v>
      </c>
      <c r="C7" s="15" t="s">
        <v>6</v>
      </c>
      <c r="D7" s="15">
        <v>25</v>
      </c>
      <c r="E7" s="14"/>
      <c r="F7" s="14"/>
      <c r="G7" s="14"/>
      <c r="H7" s="14"/>
    </row>
    <row r="8" spans="1:8" x14ac:dyDescent="0.35">
      <c r="A8" s="15">
        <v>201</v>
      </c>
      <c r="B8" s="15" t="s">
        <v>8</v>
      </c>
      <c r="C8" s="15" t="s">
        <v>9</v>
      </c>
      <c r="D8" s="15">
        <v>350</v>
      </c>
      <c r="E8" s="14"/>
      <c r="F8" s="14"/>
      <c r="G8" s="14"/>
      <c r="H8" s="14"/>
    </row>
    <row r="9" spans="1:8" x14ac:dyDescent="0.35">
      <c r="A9" s="15">
        <v>301</v>
      </c>
      <c r="B9" s="15" t="s">
        <v>10</v>
      </c>
      <c r="C9" s="15" t="s">
        <v>11</v>
      </c>
      <c r="D9" s="15">
        <v>799</v>
      </c>
      <c r="E9" s="14"/>
      <c r="F9" s="14"/>
      <c r="G9" s="14"/>
      <c r="H9" s="14"/>
    </row>
    <row r="10" spans="1:8" x14ac:dyDescent="0.35">
      <c r="A10" s="15">
        <v>302</v>
      </c>
      <c r="B10" s="15" t="s">
        <v>12</v>
      </c>
      <c r="C10" s="15" t="s">
        <v>11</v>
      </c>
      <c r="D10" s="15">
        <v>1299</v>
      </c>
      <c r="E10" s="14"/>
      <c r="F10" s="14"/>
      <c r="G10" s="14"/>
      <c r="H10" s="14"/>
    </row>
    <row r="11" spans="1:8" x14ac:dyDescent="0.35">
      <c r="A11" s="14"/>
      <c r="B11" s="14"/>
      <c r="C11" s="14"/>
      <c r="D11" s="14"/>
      <c r="E11" s="14"/>
      <c r="F11" s="14"/>
      <c r="G11" s="14"/>
      <c r="H11" s="14"/>
    </row>
    <row r="12" spans="1:8" x14ac:dyDescent="0.35">
      <c r="A12" s="13" t="s">
        <v>13</v>
      </c>
      <c r="B12" s="13" t="s">
        <v>1</v>
      </c>
      <c r="C12" s="13" t="s">
        <v>14</v>
      </c>
      <c r="D12" s="13" t="s">
        <v>15</v>
      </c>
      <c r="E12" s="13" t="s">
        <v>16</v>
      </c>
      <c r="F12" s="13" t="s">
        <v>17</v>
      </c>
      <c r="G12" s="13" t="s">
        <v>3</v>
      </c>
      <c r="H12" s="14"/>
    </row>
    <row r="13" spans="1:8" x14ac:dyDescent="0.35">
      <c r="A13" s="15">
        <v>5001</v>
      </c>
      <c r="B13" s="15">
        <v>101</v>
      </c>
      <c r="C13" s="15" t="str">
        <f>VLOOKUP(B13,A6:B10,2,FALSE)</f>
        <v>Classic Notebook</v>
      </c>
      <c r="D13" s="15">
        <f>VLOOKUP(B13,$A5:$D10,4,FALSE)</f>
        <v>120</v>
      </c>
      <c r="E13" s="15">
        <v>3</v>
      </c>
      <c r="F13" s="15">
        <f>D13*E13</f>
        <v>360</v>
      </c>
      <c r="G13" s="15" t="s">
        <v>6</v>
      </c>
      <c r="H13" s="14"/>
    </row>
    <row r="14" spans="1:8" x14ac:dyDescent="0.35">
      <c r="A14" s="15">
        <v>5002</v>
      </c>
      <c r="B14" s="15">
        <v>301</v>
      </c>
      <c r="C14" s="15" t="str">
        <f>VLOOKUP(B14,A7:B11,2,FALSE)</f>
        <v>Bluetooth Mouse</v>
      </c>
      <c r="D14" s="15">
        <f t="shared" ref="D14:D17" si="0">VLOOKUP(B14,$A6:$D11,4,FALSE)</f>
        <v>799</v>
      </c>
      <c r="E14" s="15">
        <v>1</v>
      </c>
      <c r="F14" s="15">
        <f t="shared" ref="F14:F17" si="1">D14*E14</f>
        <v>799</v>
      </c>
      <c r="G14" s="15" t="s">
        <v>6</v>
      </c>
      <c r="H14" s="14"/>
    </row>
    <row r="15" spans="1:8" x14ac:dyDescent="0.35">
      <c r="A15" s="15">
        <v>5003</v>
      </c>
      <c r="B15" s="15">
        <v>102</v>
      </c>
      <c r="C15" s="15" t="str">
        <f>VLOOKUP(B15,A6:B10,2,FALSE)</f>
        <v>Gel Pen</v>
      </c>
      <c r="D15" s="15">
        <f t="shared" si="0"/>
        <v>25</v>
      </c>
      <c r="E15" s="15">
        <v>10</v>
      </c>
      <c r="F15" s="15">
        <f t="shared" si="1"/>
        <v>250</v>
      </c>
      <c r="G15" s="15" t="s">
        <v>9</v>
      </c>
      <c r="H15" s="14"/>
    </row>
    <row r="16" spans="1:8" x14ac:dyDescent="0.35">
      <c r="A16" s="15">
        <v>5004</v>
      </c>
      <c r="B16" s="15">
        <v>201</v>
      </c>
      <c r="C16" s="15" t="str">
        <f>VLOOKUP(B16,A6:B10,2,FALSE)</f>
        <v>Travel Mug</v>
      </c>
      <c r="D16" s="15">
        <f t="shared" si="0"/>
        <v>350</v>
      </c>
      <c r="E16" s="15">
        <v>2</v>
      </c>
      <c r="F16" s="15">
        <f t="shared" si="1"/>
        <v>700</v>
      </c>
      <c r="G16" s="15" t="s">
        <v>11</v>
      </c>
      <c r="H16" s="14"/>
    </row>
    <row r="17" spans="1:8" x14ac:dyDescent="0.35">
      <c r="A17" s="15">
        <v>5005</v>
      </c>
      <c r="B17" s="15">
        <v>302</v>
      </c>
      <c r="C17" s="15" t="str">
        <f>VLOOKUP(B17,$A6:$B10,2,FALSE)</f>
        <v>Keyboard</v>
      </c>
      <c r="D17" s="15">
        <f t="shared" si="0"/>
        <v>1299</v>
      </c>
      <c r="E17" s="15">
        <v>1</v>
      </c>
      <c r="F17" s="15">
        <f t="shared" si="1"/>
        <v>1299</v>
      </c>
      <c r="G17" s="15" t="s">
        <v>11</v>
      </c>
      <c r="H17" s="14"/>
    </row>
    <row r="19" spans="1:8" x14ac:dyDescent="0.35">
      <c r="A19" s="8"/>
      <c r="B19" s="5"/>
      <c r="C19" s="5"/>
      <c r="D19" s="5"/>
      <c r="E19" s="5"/>
      <c r="F19" s="5"/>
      <c r="G19" s="5"/>
      <c r="H19" s="5"/>
    </row>
    <row r="20" spans="1:8" x14ac:dyDescent="0.35">
      <c r="A20" s="5"/>
      <c r="B20" s="5"/>
      <c r="C20" s="5"/>
      <c r="D20" s="5"/>
      <c r="E20" s="5"/>
      <c r="F20" s="5"/>
      <c r="G20" s="5"/>
      <c r="H20" s="5"/>
    </row>
    <row r="22" spans="1:8" x14ac:dyDescent="0.35">
      <c r="A22" s="9" t="s">
        <v>18</v>
      </c>
      <c r="B22" s="5"/>
      <c r="C22" s="5"/>
      <c r="D22" s="5"/>
      <c r="E22" s="5"/>
      <c r="F22" s="5"/>
      <c r="G22" s="5"/>
      <c r="H22" s="5"/>
    </row>
    <row r="23" spans="1:8" x14ac:dyDescent="0.35">
      <c r="A23" s="5"/>
      <c r="B23" s="5"/>
      <c r="C23" s="5"/>
      <c r="D23" s="5"/>
      <c r="E23" s="5"/>
      <c r="F23" s="5"/>
      <c r="G23" s="5"/>
      <c r="H23" s="5"/>
    </row>
    <row r="24" spans="1:8" x14ac:dyDescent="0.3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</row>
    <row r="25" spans="1:8" x14ac:dyDescent="0.35">
      <c r="A25" s="2">
        <v>9001</v>
      </c>
      <c r="B25" s="2" t="s">
        <v>24</v>
      </c>
      <c r="C25" s="2" t="s">
        <v>25</v>
      </c>
      <c r="D25" s="2" t="s">
        <v>26</v>
      </c>
      <c r="E25" s="2">
        <v>35000</v>
      </c>
    </row>
    <row r="26" spans="1:8" x14ac:dyDescent="0.35">
      <c r="A26" s="2">
        <v>9002</v>
      </c>
      <c r="B26" s="2" t="s">
        <v>27</v>
      </c>
      <c r="C26" s="2" t="s">
        <v>28</v>
      </c>
      <c r="D26" s="2" t="s">
        <v>29</v>
      </c>
      <c r="E26" s="2">
        <v>30000</v>
      </c>
    </row>
    <row r="27" spans="1:8" x14ac:dyDescent="0.35">
      <c r="A27" s="2">
        <v>9003</v>
      </c>
      <c r="B27" s="2" t="s">
        <v>30</v>
      </c>
      <c r="C27" s="2" t="s">
        <v>31</v>
      </c>
      <c r="D27" s="2" t="s">
        <v>26</v>
      </c>
      <c r="E27" s="2">
        <v>42000</v>
      </c>
    </row>
    <row r="28" spans="1:8" x14ac:dyDescent="0.35">
      <c r="A28" s="2">
        <v>9004</v>
      </c>
      <c r="B28" s="2" t="s">
        <v>32</v>
      </c>
      <c r="C28" s="2" t="s">
        <v>33</v>
      </c>
      <c r="D28" s="2" t="s">
        <v>34</v>
      </c>
      <c r="E28" s="2">
        <v>48000</v>
      </c>
    </row>
    <row r="29" spans="1:8" x14ac:dyDescent="0.35">
      <c r="A29" s="2">
        <v>9005</v>
      </c>
      <c r="B29" s="2" t="s">
        <v>35</v>
      </c>
      <c r="C29" s="2" t="s">
        <v>36</v>
      </c>
      <c r="D29" s="2" t="s">
        <v>37</v>
      </c>
      <c r="E29" s="2">
        <v>32000</v>
      </c>
    </row>
    <row r="31" spans="1:8" x14ac:dyDescent="0.35">
      <c r="A31" s="5"/>
      <c r="B31" s="5"/>
      <c r="C31" s="5"/>
      <c r="D31" s="5"/>
      <c r="E31" s="5"/>
      <c r="F31" s="5"/>
      <c r="G31" s="5"/>
      <c r="H31" s="5"/>
    </row>
    <row r="32" spans="1:8" x14ac:dyDescent="0.35">
      <c r="A32" s="2" t="s">
        <v>38</v>
      </c>
      <c r="B32" s="2">
        <v>9002</v>
      </c>
      <c r="C32" s="2" t="str">
        <f>INDEX(B24:B29,MATCH(B32,A24:A29,0))</f>
        <v>Rohit Sharma</v>
      </c>
      <c r="D32" s="2" t="str">
        <f>INDEX(C25:C29, MATCH(B32, A25:A29, 0))</f>
        <v>Marketing</v>
      </c>
      <c r="E32" s="2"/>
      <c r="F32" s="2"/>
    </row>
    <row r="34" spans="1:8" x14ac:dyDescent="0.35">
      <c r="A34" s="9" t="s">
        <v>39</v>
      </c>
      <c r="B34" s="5"/>
      <c r="C34" s="5"/>
      <c r="D34" s="5"/>
      <c r="E34" s="5"/>
      <c r="F34" s="5"/>
      <c r="G34" s="5"/>
      <c r="H34" s="5"/>
    </row>
    <row r="35" spans="1:8" x14ac:dyDescent="0.35">
      <c r="A35" s="5"/>
      <c r="B35" s="5"/>
      <c r="C35" s="5"/>
      <c r="D35" s="5"/>
      <c r="E35" s="5"/>
      <c r="F35" s="5"/>
      <c r="G35" s="5"/>
      <c r="H35" s="5"/>
    </row>
    <row r="36" spans="1:8" x14ac:dyDescent="0.35">
      <c r="A36" s="1" t="s">
        <v>2</v>
      </c>
      <c r="B36" s="1" t="s">
        <v>3</v>
      </c>
    </row>
    <row r="37" spans="1:8" x14ac:dyDescent="0.35">
      <c r="A37" s="2" t="s">
        <v>5</v>
      </c>
      <c r="B37" s="2" t="s">
        <v>6</v>
      </c>
    </row>
    <row r="38" spans="1:8" x14ac:dyDescent="0.35">
      <c r="A38" s="2" t="s">
        <v>7</v>
      </c>
      <c r="B38" s="2" t="s">
        <v>6</v>
      </c>
    </row>
    <row r="39" spans="1:8" x14ac:dyDescent="0.35">
      <c r="A39" s="2" t="s">
        <v>8</v>
      </c>
      <c r="B39" s="2" t="s">
        <v>9</v>
      </c>
    </row>
    <row r="40" spans="1:8" x14ac:dyDescent="0.35">
      <c r="A40" s="2" t="s">
        <v>10</v>
      </c>
      <c r="B40" s="2" t="s">
        <v>11</v>
      </c>
    </row>
    <row r="41" spans="1:8" x14ac:dyDescent="0.35">
      <c r="A41" s="2" t="s">
        <v>12</v>
      </c>
      <c r="B41" s="2" t="s">
        <v>11</v>
      </c>
    </row>
    <row r="43" spans="1:8" x14ac:dyDescent="0.35">
      <c r="A43" s="8"/>
      <c r="B43" s="5"/>
      <c r="C43" s="5"/>
      <c r="D43" s="5"/>
      <c r="E43" s="5"/>
      <c r="F43" s="5"/>
      <c r="G43" s="5"/>
      <c r="H43" s="5"/>
    </row>
    <row r="44" spans="1:8" x14ac:dyDescent="0.35">
      <c r="A44" s="2" t="s">
        <v>40</v>
      </c>
      <c r="B44" s="2" t="s">
        <v>56</v>
      </c>
      <c r="C44" s="2" t="s">
        <v>41</v>
      </c>
      <c r="D44" s="10" t="s">
        <v>54</v>
      </c>
    </row>
    <row r="46" spans="1:8" x14ac:dyDescent="0.35">
      <c r="A46" s="9" t="s">
        <v>42</v>
      </c>
      <c r="B46" s="5"/>
      <c r="C46" s="5"/>
      <c r="D46" s="5"/>
      <c r="E46" s="5"/>
      <c r="F46" s="5"/>
      <c r="G46" s="5"/>
      <c r="H46" s="5"/>
    </row>
    <row r="47" spans="1:8" x14ac:dyDescent="0.35">
      <c r="A47" s="5"/>
      <c r="B47" s="5"/>
      <c r="C47" s="5"/>
      <c r="D47" s="5"/>
      <c r="E47" s="5"/>
      <c r="F47" s="5"/>
      <c r="G47" s="5"/>
      <c r="H47" s="5"/>
    </row>
    <row r="48" spans="1:8" s="3" customFormat="1" ht="29" x14ac:dyDescent="0.35">
      <c r="A48" s="11" t="s">
        <v>43</v>
      </c>
      <c r="B48" s="12" t="s">
        <v>44</v>
      </c>
      <c r="C48" s="12" t="s">
        <v>45</v>
      </c>
      <c r="D48" s="12" t="s">
        <v>46</v>
      </c>
      <c r="E48" s="12" t="s">
        <v>47</v>
      </c>
      <c r="F48" s="12" t="s">
        <v>48</v>
      </c>
      <c r="G48" s="3" t="s">
        <v>44</v>
      </c>
      <c r="H48" s="3" t="s">
        <v>55</v>
      </c>
    </row>
    <row r="50" spans="1:8" x14ac:dyDescent="0.35">
      <c r="A50" s="2"/>
      <c r="B50" s="2"/>
    </row>
    <row r="52" spans="1:8" x14ac:dyDescent="0.35">
      <c r="A52" s="9" t="s">
        <v>49</v>
      </c>
      <c r="B52" s="5"/>
      <c r="C52" s="5"/>
      <c r="D52" s="5"/>
      <c r="E52" s="5"/>
      <c r="F52" s="5"/>
      <c r="G52" s="5"/>
      <c r="H52" s="5"/>
    </row>
    <row r="53" spans="1:8" x14ac:dyDescent="0.35">
      <c r="A53" s="8"/>
      <c r="B53" s="5"/>
      <c r="C53" s="5"/>
      <c r="D53" s="5"/>
      <c r="E53" s="5"/>
      <c r="F53" s="5"/>
      <c r="G53" s="5"/>
      <c r="H53" s="5"/>
    </row>
    <row r="54" spans="1:8" x14ac:dyDescent="0.35">
      <c r="A54" s="5"/>
      <c r="B54" s="5"/>
      <c r="C54" s="5"/>
      <c r="D54" s="5"/>
      <c r="E54" s="5"/>
      <c r="F54" s="5"/>
      <c r="G54" s="5"/>
      <c r="H54" s="5"/>
    </row>
    <row r="55" spans="1:8" x14ac:dyDescent="0.35">
      <c r="A55" s="5"/>
      <c r="B55" s="5"/>
      <c r="C55" s="5"/>
      <c r="D55" s="5"/>
      <c r="E55" s="5"/>
      <c r="F55" s="5"/>
      <c r="G55" s="5"/>
      <c r="H55" s="5"/>
    </row>
    <row r="58" spans="1:8" x14ac:dyDescent="0.35">
      <c r="A58" s="1" t="s">
        <v>50</v>
      </c>
      <c r="B58" s="6">
        <f>SUM(D6:D10)</f>
        <v>2593</v>
      </c>
      <c r="C58" s="6"/>
      <c r="D58" s="6"/>
    </row>
    <row r="59" spans="1:8" x14ac:dyDescent="0.35">
      <c r="A59" s="1" t="s">
        <v>51</v>
      </c>
      <c r="B59" s="6">
        <f>COUNT(A6:A10)</f>
        <v>5</v>
      </c>
      <c r="C59" s="6"/>
      <c r="D59" s="6"/>
    </row>
    <row r="60" spans="1:8" x14ac:dyDescent="0.35">
      <c r="A60" s="1" t="s">
        <v>52</v>
      </c>
      <c r="B60" s="6">
        <f>AVERAGE(F13:F17)</f>
        <v>681.6</v>
      </c>
      <c r="C60" s="6"/>
      <c r="D60" s="6"/>
    </row>
    <row r="63" spans="1:8" x14ac:dyDescent="0.35">
      <c r="A63" s="8"/>
      <c r="B63" s="5"/>
      <c r="C63" s="5"/>
      <c r="D63" s="5"/>
      <c r="E63" s="5"/>
      <c r="F63" s="5"/>
      <c r="G63" s="5"/>
      <c r="H63" s="5"/>
    </row>
    <row r="64" spans="1:8" x14ac:dyDescent="0.35">
      <c r="A64" s="5"/>
      <c r="B64" s="5"/>
      <c r="C64" s="5"/>
      <c r="D64" s="5"/>
      <c r="E64" s="5"/>
      <c r="F64" s="5"/>
      <c r="G64" s="5"/>
      <c r="H64" s="5"/>
    </row>
    <row r="65" spans="1:8" x14ac:dyDescent="0.35">
      <c r="A65" s="5"/>
      <c r="B65" s="5"/>
      <c r="C65" s="5"/>
      <c r="D65" s="5"/>
      <c r="E65" s="5"/>
      <c r="F65" s="5"/>
      <c r="G65" s="5"/>
      <c r="H65" s="5"/>
    </row>
    <row r="67" spans="1:8" x14ac:dyDescent="0.35">
      <c r="A67" s="4"/>
      <c r="B67" s="5"/>
      <c r="C67" s="5"/>
      <c r="D67" s="5"/>
      <c r="E67" s="5"/>
      <c r="F67" s="5"/>
      <c r="G67" s="5"/>
      <c r="H67" s="5"/>
    </row>
  </sheetData>
  <mergeCells count="19">
    <mergeCell ref="A31:H31"/>
    <mergeCell ref="A53:H55"/>
    <mergeCell ref="A34:H34"/>
    <mergeCell ref="A67:H67"/>
    <mergeCell ref="B60:D60"/>
    <mergeCell ref="A1:H1"/>
    <mergeCell ref="A19:H20"/>
    <mergeCell ref="A46:H46"/>
    <mergeCell ref="A3:H3"/>
    <mergeCell ref="A47:H47"/>
    <mergeCell ref="A23:H23"/>
    <mergeCell ref="A22:H22"/>
    <mergeCell ref="A4:H4"/>
    <mergeCell ref="B59:D59"/>
    <mergeCell ref="A35:H35"/>
    <mergeCell ref="A43:H43"/>
    <mergeCell ref="A52:H52"/>
    <mergeCell ref="B58:D58"/>
    <mergeCell ref="A63:H65"/>
  </mergeCells>
  <dataValidations count="1">
    <dataValidation type="list" allowBlank="1" showInputMessage="1" showErrorMessage="1" sqref="G48" xr:uid="{6E7D9047-CE19-465E-A33F-55592A96440B}">
      <formula1>B48:F48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Karanakota</cp:lastModifiedBy>
  <dcterms:created xsi:type="dcterms:W3CDTF">2026-01-07T13:43:50Z</dcterms:created>
  <dcterms:modified xsi:type="dcterms:W3CDTF">2026-01-07T18:14:35Z</dcterms:modified>
</cp:coreProperties>
</file>